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2BD4C4E9E7AD312/Documents/"/>
    </mc:Choice>
  </mc:AlternateContent>
  <xr:revisionPtr revIDLastSave="0" documentId="8_{616F4BB0-AB0E-4EBE-85C7-9B705CB590EE}" xr6:coauthVersionLast="47" xr6:coauthVersionMax="47" xr10:uidLastSave="{00000000-0000-0000-0000-000000000000}"/>
  <bookViews>
    <workbookView xWindow="-108" yWindow="-108" windowWidth="23256" windowHeight="12456" firstSheet="4" activeTab="4" xr2:uid="{00000000-000D-0000-FFFF-FFFF00000000}"/>
  </bookViews>
  <sheets>
    <sheet name="Regional analysis" sheetId="4" r:id="rId1"/>
    <sheet name="product performance pivot table" sheetId="7" r:id="rId2"/>
    <sheet name="salesperson performance" sheetId="8" r:id="rId3"/>
    <sheet name="monthly sales analysis" sheetId="9" r:id="rId4"/>
    <sheet name="Dashboard" sheetId="11" r:id="rId5"/>
    <sheet name="Sales Data" sheetId="1" r:id="rId6"/>
    <sheet name="Product Details" sheetId="2" r:id="rId7"/>
    <sheet name="KPI Summary" sheetId="3" r:id="rId8"/>
  </sheets>
  <definedNames>
    <definedName name="Slicer_Category">#N/A</definedName>
    <definedName name="Slicer_Product">#N/A</definedName>
    <definedName name="Slicer_Region">#N/A</definedName>
    <definedName name="Slicer_Salesperson">#N/A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3" l="1"/>
  <c r="C5" i="3"/>
  <c r="C3" i="3"/>
  <c r="B4" i="3"/>
  <c r="E6" i="11"/>
  <c r="B2" i="3"/>
  <c r="B6" i="11" s="1"/>
  <c r="C4" i="3"/>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H6" i="11" l="1"/>
  <c r="B5" i="3"/>
  <c r="K6" i="11" s="1"/>
</calcChain>
</file>

<file path=xl/sharedStrings.xml><?xml version="1.0" encoding="utf-8"?>
<sst xmlns="http://schemas.openxmlformats.org/spreadsheetml/2006/main" count="322" uniqueCount="65">
  <si>
    <t>Order ID</t>
  </si>
  <si>
    <t>Order Date</t>
  </si>
  <si>
    <t>Region</t>
  </si>
  <si>
    <t>Salesperson</t>
  </si>
  <si>
    <t>Product</t>
  </si>
  <si>
    <t>Category</t>
  </si>
  <si>
    <t>Quantity</t>
  </si>
  <si>
    <t>Unit Price</t>
  </si>
  <si>
    <t>Revenue</t>
  </si>
  <si>
    <t>South</t>
  </si>
  <si>
    <t>Arun</t>
  </si>
  <si>
    <t>Laptop</t>
  </si>
  <si>
    <t>Electronics</t>
  </si>
  <si>
    <t>North</t>
  </si>
  <si>
    <t>Priya</t>
  </si>
  <si>
    <t>Keyboard</t>
  </si>
  <si>
    <t>Accessories</t>
  </si>
  <si>
    <t>East</t>
  </si>
  <si>
    <t>Rahul</t>
  </si>
  <si>
    <t>Monitor</t>
  </si>
  <si>
    <t>West</t>
  </si>
  <si>
    <t>Sneha</t>
  </si>
  <si>
    <t>Mouse</t>
  </si>
  <si>
    <t>Headphones</t>
  </si>
  <si>
    <t>Kiran</t>
  </si>
  <si>
    <t>KPI</t>
  </si>
  <si>
    <t>Formula</t>
  </si>
  <si>
    <t>Total Revenue</t>
  </si>
  <si>
    <t>Total Quantity Sold</t>
  </si>
  <si>
    <t>Total Orders</t>
  </si>
  <si>
    <t>Average Order Value</t>
  </si>
  <si>
    <t>VLOOKUP Category</t>
  </si>
  <si>
    <t>VLOOKUP Price</t>
  </si>
  <si>
    <t>Total</t>
  </si>
  <si>
    <t>Row Labels</t>
  </si>
  <si>
    <t>Grand Total</t>
  </si>
  <si>
    <t>Sum of Revenue</t>
  </si>
  <si>
    <t>Sum of Quantity</t>
  </si>
  <si>
    <t>product</t>
  </si>
  <si>
    <t>salesperson</t>
  </si>
  <si>
    <t>Jan</t>
  </si>
  <si>
    <t>Feb</t>
  </si>
  <si>
    <t>Mar</t>
  </si>
  <si>
    <t>Apr</t>
  </si>
  <si>
    <t>May</t>
  </si>
  <si>
    <t>Jun</t>
  </si>
  <si>
    <t>Jul</t>
  </si>
  <si>
    <t>Aug</t>
  </si>
  <si>
    <t>Sep</t>
  </si>
  <si>
    <t>Oct</t>
  </si>
  <si>
    <t>Nov</t>
  </si>
  <si>
    <t>Dec</t>
  </si>
  <si>
    <t>Months</t>
  </si>
  <si>
    <t>SALES PERFORMANCE DASHBOARD</t>
  </si>
  <si>
    <t>TOTAL REVENUE</t>
  </si>
  <si>
    <t>TOTAL ORDERS</t>
  </si>
  <si>
    <t>TOTAL QUANTITY</t>
  </si>
  <si>
    <t>AVERAGE ORDER VALUE</t>
  </si>
  <si>
    <t>FILTERS</t>
  </si>
  <si>
    <t>KEY INSIGHTS</t>
  </si>
  <si>
    <t>• South is the highest-revenue region.</t>
  </si>
  <si>
    <t>• Laptop is the highest-revenue product.</t>
  </si>
  <si>
    <t>• Mouse has the highest quantity sold.</t>
  </si>
  <si>
    <t>• December has the highest monthly revenue.</t>
  </si>
  <si>
    <t>• Rahul is the top salesperson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</si>
</sst>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
  </numFmts>
  <fonts count="6" x14ac:knownFonts="1">
    <font>
      <sz val="11"/>
      <color theme="1"/>
      <name val="Calibri"/>
      <family val="2"/>
      <scheme val="minor"/>
    </font>
    <font>
      <b/>
      <sz val="11"/>
      <name val="Calibri"/>
    </font>
    <font>
      <b/>
      <sz val="11"/>
      <color theme="1"/>
      <name val="Calibri"/>
      <family val="2"/>
      <scheme val="minor"/>
    </font>
    <font>
      <b/>
      <sz val="11"/>
      <name val="Calibri"/>
      <family val="2"/>
    </font>
    <font>
      <b/>
      <sz val="18"/>
      <color theme="1"/>
      <name val="Calibri"/>
      <family val="2"/>
      <scheme val="minor"/>
    </font>
    <font>
      <sz val="22"/>
      <color theme="1"/>
      <name val="Calibri"/>
      <family val="2"/>
      <scheme val="minor"/>
    </font>
  </fonts>
  <fills count="3">
    <fill>
      <patternFill patternType="none"/>
    </fill>
    <fill>
      <patternFill patternType="gray125"/>
    </fill>
    <fill>
      <patternFill patternType="solid">
        <fgColor rgb="FFD9EAF7"/>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165" fontId="0" fillId="0" borderId="0" xfId="0" applyNumberFormat="1"/>
    <xf numFmtId="166" fontId="0" fillId="0" borderId="0" xfId="0" applyNumberFormat="1"/>
    <xf numFmtId="0" fontId="1" fillId="2" borderId="2" xfId="0" applyFont="1" applyFill="1" applyBorder="1" applyAlignment="1">
      <alignment horizontal="center"/>
    </xf>
    <xf numFmtId="0" fontId="3" fillId="2" borderId="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0" fillId="0" borderId="1" xfId="0" applyFont="1" applyBorder="1" applyAlignment="1">
      <alignment horizontal="center"/>
    </xf>
    <xf numFmtId="0" fontId="5" fillId="0" borderId="0" xfId="0" applyFont="1"/>
    <xf numFmtId="0" fontId="4" fillId="0" borderId="0" xfId="0" applyFont="1"/>
    <xf numFmtId="0" fontId="2" fillId="0" borderId="0" xfId="0" applyFont="1" applyAlignment="1">
      <alignment horizontal="center"/>
    </xf>
  </cellXfs>
  <cellStyles count="1">
    <cellStyle name="Normal" xfId="0" builtinId="0"/>
  </cellStyles>
  <dxfs count="8">
    <dxf>
      <numFmt numFmtId="0" formatCode="General"/>
    </dxf>
    <dxf>
      <numFmt numFmtId="0" formatCode="General"/>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166" formatCode="\₹#,##0"/>
    </dxf>
    <dxf>
      <numFmt numFmtId="166" formatCode="\₹#,##0"/>
    </dxf>
    <dxf>
      <numFmt numFmtId="165" formatCode="dd\-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[Sales_Performance_Analysis_Dataset.xlsx]Regional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analysis'!$B$3</c:f>
              <c:strCache>
                <c:ptCount val="1"/>
                <c:pt idx="0">
                  <c:v>Total</c:v>
                </c:pt>
              </c:strCache>
            </c:strRef>
          </c:tx>
          <c:spPr>
            <a:solidFill>
              <a:schemeClr val="accent1"/>
            </a:solidFill>
            <a:ln>
              <a:noFill/>
            </a:ln>
            <a:effectLst/>
          </c:spPr>
          <c:invertIfNegative val="0"/>
          <c:cat>
            <c:strRef>
              <c:f>'Regional analysis'!$A$4:$A$8</c:f>
              <c:strCache>
                <c:ptCount val="4"/>
                <c:pt idx="0">
                  <c:v>East</c:v>
                </c:pt>
                <c:pt idx="1">
                  <c:v>North</c:v>
                </c:pt>
                <c:pt idx="2">
                  <c:v>South</c:v>
                </c:pt>
                <c:pt idx="3">
                  <c:v>West</c:v>
                </c:pt>
              </c:strCache>
            </c:strRef>
          </c:cat>
          <c:val>
            <c:numRef>
              <c:f>'Regional analysis'!$B$4:$B$8</c:f>
              <c:numCache>
                <c:formatCode>\₹#,##0</c:formatCode>
                <c:ptCount val="4"/>
                <c:pt idx="0">
                  <c:v>961000</c:v>
                </c:pt>
                <c:pt idx="1">
                  <c:v>628700</c:v>
                </c:pt>
                <c:pt idx="2">
                  <c:v>993000</c:v>
                </c:pt>
                <c:pt idx="3">
                  <c:v>642000</c:v>
                </c:pt>
              </c:numCache>
            </c:numRef>
          </c:val>
          <c:extLst>
            <c:ext xmlns:c16="http://schemas.microsoft.com/office/drawing/2014/chart" uri="{C3380CC4-5D6E-409C-BE32-E72D297353CC}">
              <c16:uniqueId val="{00000000-9E2C-45A9-BC6B-613766A3CC94}"/>
            </c:ext>
          </c:extLst>
        </c:ser>
        <c:dLbls>
          <c:showLegendKey val="0"/>
          <c:showVal val="0"/>
          <c:showCatName val="0"/>
          <c:showSerName val="0"/>
          <c:showPercent val="0"/>
          <c:showBubbleSize val="0"/>
        </c:dLbls>
        <c:gapWidth val="219"/>
        <c:overlap val="-27"/>
        <c:axId val="641878831"/>
        <c:axId val="453793343"/>
      </c:barChart>
      <c:catAx>
        <c:axId val="6418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93343"/>
        <c:crosses val="autoZero"/>
        <c:auto val="1"/>
        <c:lblAlgn val="ctr"/>
        <c:lblOffset val="100"/>
        <c:noMultiLvlLbl val="0"/>
      </c:catAx>
      <c:valAx>
        <c:axId val="453793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8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[Sales_Performance_Analysis_Dataset.xlsx]product performance 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Product</a:t>
            </a:r>
            <a:endParaRPr lang="en-IN"/>
          </a:p>
        </c:rich>
      </c:tx>
      <c:layout>
        <c:manualLayout>
          <c:xMode val="edge"/>
          <c:yMode val="edge"/>
          <c:x val="0.36992864424057081"/>
          <c:y val="0.873979294254884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5314960629921"/>
          <c:y val="0.14712744240303297"/>
          <c:w val="0.58384426946631673"/>
          <c:h val="0.52264253426655005"/>
        </c:manualLayout>
      </c:layout>
      <c:barChart>
        <c:barDir val="col"/>
        <c:grouping val="clustered"/>
        <c:varyColors val="0"/>
        <c:ser>
          <c:idx val="0"/>
          <c:order val="0"/>
          <c:tx>
            <c:strRef>
              <c:f>'product performance pivot table'!$B$3</c:f>
              <c:strCache>
                <c:ptCount val="1"/>
                <c:pt idx="0">
                  <c:v>Sum of Revenue</c:v>
                </c:pt>
              </c:strCache>
            </c:strRef>
          </c:tx>
          <c:spPr>
            <a:solidFill>
              <a:schemeClr val="accent1"/>
            </a:solidFill>
            <a:ln>
              <a:noFill/>
            </a:ln>
            <a:effectLst/>
          </c:spPr>
          <c:invertIfNegative val="0"/>
          <c:cat>
            <c:strRef>
              <c:f>'product performance pivot table'!$A$4:$A$9</c:f>
              <c:strCache>
                <c:ptCount val="5"/>
                <c:pt idx="0">
                  <c:v>Headphones</c:v>
                </c:pt>
                <c:pt idx="1">
                  <c:v>Keyboard</c:v>
                </c:pt>
                <c:pt idx="2">
                  <c:v>Laptop</c:v>
                </c:pt>
                <c:pt idx="3">
                  <c:v>Monitor</c:v>
                </c:pt>
                <c:pt idx="4">
                  <c:v>Mouse</c:v>
                </c:pt>
              </c:strCache>
            </c:strRef>
          </c:cat>
          <c:val>
            <c:numRef>
              <c:f>'product performance pivot table'!$B$4:$B$9</c:f>
              <c:numCache>
                <c:formatCode>\₹#,##0</c:formatCode>
                <c:ptCount val="5"/>
                <c:pt idx="0">
                  <c:v>226000</c:v>
                </c:pt>
                <c:pt idx="1">
                  <c:v>247500</c:v>
                </c:pt>
                <c:pt idx="2">
                  <c:v>1760000</c:v>
                </c:pt>
                <c:pt idx="3">
                  <c:v>828000</c:v>
                </c:pt>
                <c:pt idx="4">
                  <c:v>163200</c:v>
                </c:pt>
              </c:numCache>
            </c:numRef>
          </c:val>
          <c:extLst>
            <c:ext xmlns:c16="http://schemas.microsoft.com/office/drawing/2014/chart" uri="{C3380CC4-5D6E-409C-BE32-E72D297353CC}">
              <c16:uniqueId val="{00000000-7398-43EA-913B-93FCA5A0300F}"/>
            </c:ext>
          </c:extLst>
        </c:ser>
        <c:ser>
          <c:idx val="1"/>
          <c:order val="1"/>
          <c:tx>
            <c:strRef>
              <c:f>'product performance pivot table'!$C$3</c:f>
              <c:strCache>
                <c:ptCount val="1"/>
                <c:pt idx="0">
                  <c:v>Sum of Quantity</c:v>
                </c:pt>
              </c:strCache>
            </c:strRef>
          </c:tx>
          <c:spPr>
            <a:solidFill>
              <a:schemeClr val="accent2"/>
            </a:solidFill>
            <a:ln>
              <a:noFill/>
            </a:ln>
            <a:effectLst/>
          </c:spPr>
          <c:invertIfNegative val="0"/>
          <c:cat>
            <c:strRef>
              <c:f>'product performance pivot table'!$A$4:$A$9</c:f>
              <c:strCache>
                <c:ptCount val="5"/>
                <c:pt idx="0">
                  <c:v>Headphones</c:v>
                </c:pt>
                <c:pt idx="1">
                  <c:v>Keyboard</c:v>
                </c:pt>
                <c:pt idx="2">
                  <c:v>Laptop</c:v>
                </c:pt>
                <c:pt idx="3">
                  <c:v>Monitor</c:v>
                </c:pt>
                <c:pt idx="4">
                  <c:v>Mouse</c:v>
                </c:pt>
              </c:strCache>
            </c:strRef>
          </c:cat>
          <c:val>
            <c:numRef>
              <c:f>'product performance pivot table'!$C$4:$C$9</c:f>
              <c:numCache>
                <c:formatCode>General</c:formatCode>
                <c:ptCount val="5"/>
                <c:pt idx="0">
                  <c:v>113</c:v>
                </c:pt>
                <c:pt idx="1">
                  <c:v>165</c:v>
                </c:pt>
                <c:pt idx="2">
                  <c:v>32</c:v>
                </c:pt>
                <c:pt idx="3">
                  <c:v>69</c:v>
                </c:pt>
                <c:pt idx="4">
                  <c:v>204</c:v>
                </c:pt>
              </c:numCache>
            </c:numRef>
          </c:val>
          <c:extLst>
            <c:ext xmlns:c16="http://schemas.microsoft.com/office/drawing/2014/chart" uri="{C3380CC4-5D6E-409C-BE32-E72D297353CC}">
              <c16:uniqueId val="{00000001-7398-43EA-913B-93FCA5A0300F}"/>
            </c:ext>
          </c:extLst>
        </c:ser>
        <c:dLbls>
          <c:showLegendKey val="0"/>
          <c:showVal val="0"/>
          <c:showCatName val="0"/>
          <c:showSerName val="0"/>
          <c:showPercent val="0"/>
          <c:showBubbleSize val="0"/>
        </c:dLbls>
        <c:gapWidth val="219"/>
        <c:overlap val="-27"/>
        <c:axId val="559937023"/>
        <c:axId val="453741983"/>
      </c:barChart>
      <c:catAx>
        <c:axId val="55993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41983"/>
        <c:crosses val="autoZero"/>
        <c:auto val="1"/>
        <c:lblAlgn val="ctr"/>
        <c:lblOffset val="100"/>
        <c:noMultiLvlLbl val="0"/>
      </c:catAx>
      <c:valAx>
        <c:axId val="45374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[Sales_Performance_Analysis_Dataset.xlsx]monthly sales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Total</c:v>
                </c:pt>
              </c:strCache>
            </c:strRef>
          </c:tx>
          <c:spPr>
            <a:ln w="28575" cap="rnd">
              <a:solidFill>
                <a:schemeClr val="accent1"/>
              </a:solidFill>
              <a:round/>
            </a:ln>
            <a:effectLst/>
          </c:spPr>
          <c:marker>
            <c:symbol val="none"/>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analysis'!$B$4:$B$16</c:f>
              <c:numCache>
                <c:formatCode>\₹#,##0</c:formatCode>
                <c:ptCount val="12"/>
                <c:pt idx="0">
                  <c:v>216500</c:v>
                </c:pt>
                <c:pt idx="1">
                  <c:v>191600</c:v>
                </c:pt>
                <c:pt idx="2">
                  <c:v>130000</c:v>
                </c:pt>
                <c:pt idx="3">
                  <c:v>218000</c:v>
                </c:pt>
                <c:pt idx="4">
                  <c:v>210900</c:v>
                </c:pt>
                <c:pt idx="5">
                  <c:v>294000</c:v>
                </c:pt>
                <c:pt idx="6">
                  <c:v>374600</c:v>
                </c:pt>
                <c:pt idx="7">
                  <c:v>262000</c:v>
                </c:pt>
                <c:pt idx="8">
                  <c:v>297000</c:v>
                </c:pt>
                <c:pt idx="9">
                  <c:v>328200</c:v>
                </c:pt>
                <c:pt idx="10">
                  <c:v>269400</c:v>
                </c:pt>
                <c:pt idx="11">
                  <c:v>432500</c:v>
                </c:pt>
              </c:numCache>
            </c:numRef>
          </c:val>
          <c:smooth val="0"/>
          <c:extLst>
            <c:ext xmlns:c16="http://schemas.microsoft.com/office/drawing/2014/chart" uri="{C3380CC4-5D6E-409C-BE32-E72D297353CC}">
              <c16:uniqueId val="{00000000-339F-4F23-80CE-5834D07AEC79}"/>
            </c:ext>
          </c:extLst>
        </c:ser>
        <c:dLbls>
          <c:showLegendKey val="0"/>
          <c:showVal val="0"/>
          <c:showCatName val="0"/>
          <c:showSerName val="0"/>
          <c:showPercent val="0"/>
          <c:showBubbleSize val="0"/>
        </c:dLbls>
        <c:smooth val="0"/>
        <c:axId val="727871359"/>
        <c:axId val="421468127"/>
      </c:lineChart>
      <c:catAx>
        <c:axId val="72787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68127"/>
        <c:crosses val="autoZero"/>
        <c:auto val="1"/>
        <c:lblAlgn val="ctr"/>
        <c:lblOffset val="100"/>
        <c:noMultiLvlLbl val="0"/>
      </c:catAx>
      <c:valAx>
        <c:axId val="421468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7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[Sales_Performance_Analysis_Dataset.xlsx]salesperson performance!PivotTable4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cat>
            <c:strRef>
              <c:f>'salesperson performance'!$A$4:$A$9</c:f>
              <c:strCache>
                <c:ptCount val="5"/>
                <c:pt idx="0">
                  <c:v>Arun</c:v>
                </c:pt>
                <c:pt idx="1">
                  <c:v>Kiran</c:v>
                </c:pt>
                <c:pt idx="2">
                  <c:v>Priya</c:v>
                </c:pt>
                <c:pt idx="3">
                  <c:v>Rahul</c:v>
                </c:pt>
                <c:pt idx="4">
                  <c:v>Sneha</c:v>
                </c:pt>
              </c:strCache>
            </c:strRef>
          </c:cat>
          <c:val>
            <c:numRef>
              <c:f>'salesperson performance'!$B$4:$B$9</c:f>
              <c:numCache>
                <c:formatCode>\₹#,##0</c:formatCode>
                <c:ptCount val="5"/>
                <c:pt idx="0">
                  <c:v>651000</c:v>
                </c:pt>
                <c:pt idx="1">
                  <c:v>342000</c:v>
                </c:pt>
                <c:pt idx="2">
                  <c:v>628700</c:v>
                </c:pt>
                <c:pt idx="3">
                  <c:v>961000</c:v>
                </c:pt>
                <c:pt idx="4">
                  <c:v>642000</c:v>
                </c:pt>
              </c:numCache>
            </c:numRef>
          </c:val>
          <c:extLst>
            <c:ext xmlns:c16="http://schemas.microsoft.com/office/drawing/2014/chart" uri="{C3380CC4-5D6E-409C-BE32-E72D297353CC}">
              <c16:uniqueId val="{00000000-9793-4BC0-BCDD-2DB19D6442B8}"/>
            </c:ext>
          </c:extLst>
        </c:ser>
        <c:dLbls>
          <c:showLegendKey val="0"/>
          <c:showVal val="0"/>
          <c:showCatName val="0"/>
          <c:showSerName val="0"/>
          <c:showPercent val="0"/>
          <c:showBubbleSize val="0"/>
        </c:dLbls>
        <c:gapWidth val="219"/>
        <c:overlap val="-27"/>
        <c:axId val="727881567"/>
        <c:axId val="701295519"/>
      </c:barChart>
      <c:catAx>
        <c:axId val="7278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5519"/>
        <c:crosses val="autoZero"/>
        <c:auto val="1"/>
        <c:lblAlgn val="ctr"/>
        <c:lblOffset val="100"/>
        <c:noMultiLvlLbl val="0"/>
      </c:catAx>
      <c:valAx>
        <c:axId val="70129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350520</xdr:colOff>
      <xdr:row>0</xdr:row>
      <xdr:rowOff>0</xdr:rowOff>
    </xdr:from>
    <xdr:to>
      <xdr:col>11</xdr:col>
      <xdr:colOff>350520</xdr:colOff>
      <xdr:row>13</xdr:row>
      <xdr:rowOff>89535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118506CC-F3D5-8477-D714-02AD438FCF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026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22860</xdr:rowOff>
    </xdr:from>
    <xdr:to>
      <xdr:col>4</xdr:col>
      <xdr:colOff>975360</xdr:colOff>
      <xdr:row>22</xdr:row>
      <xdr:rowOff>60960</xdr:rowOff>
    </xdr:to>
    <xdr:graphicFrame macro="">
      <xdr:nvGraphicFramePr>
        <xdr:cNvPr id="2" name="Chart 1">
          <a:extLst>
            <a:ext uri="{FF2B5EF4-FFF2-40B4-BE49-F238E27FC236}">
              <a16:creationId xmlns:a16="http://schemas.microsoft.com/office/drawing/2014/main" id="{E49E3082-3BEF-4364-B3A0-78938F286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9</xdr:row>
      <xdr:rowOff>30480</xdr:rowOff>
    </xdr:from>
    <xdr:to>
      <xdr:col>12</xdr:col>
      <xdr:colOff>198120</xdr:colOff>
      <xdr:row>22</xdr:row>
      <xdr:rowOff>68580</xdr:rowOff>
    </xdr:to>
    <xdr:graphicFrame macro="">
      <xdr:nvGraphicFramePr>
        <xdr:cNvPr id="3" name="Chart 2">
          <a:extLst>
            <a:ext uri="{FF2B5EF4-FFF2-40B4-BE49-F238E27FC236}">
              <a16:creationId xmlns:a16="http://schemas.microsoft.com/office/drawing/2014/main" id="{A8DE9C33-309B-4930-B202-B930E21F9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26</xdr:row>
      <xdr:rowOff>45720</xdr:rowOff>
    </xdr:from>
    <xdr:to>
      <xdr:col>14</xdr:col>
      <xdr:colOff>15240</xdr:colOff>
      <xdr:row>41</xdr:row>
      <xdr:rowOff>45720</xdr:rowOff>
    </xdr:to>
    <xdr:graphicFrame macro="">
      <xdr:nvGraphicFramePr>
        <xdr:cNvPr id="4" name="Chart 3">
          <a:extLst>
            <a:ext uri="{FF2B5EF4-FFF2-40B4-BE49-F238E27FC236}">
              <a16:creationId xmlns:a16="http://schemas.microsoft.com/office/drawing/2014/main" id="{17698597-4994-453C-B5DB-0F19A816B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43</xdr:row>
      <xdr:rowOff>0</xdr:rowOff>
    </xdr:from>
    <xdr:to>
      <xdr:col>14</xdr:col>
      <xdr:colOff>15240</xdr:colOff>
      <xdr:row>58</xdr:row>
      <xdr:rowOff>0</xdr:rowOff>
    </xdr:to>
    <xdr:graphicFrame macro="">
      <xdr:nvGraphicFramePr>
        <xdr:cNvPr id="5" name="Chart 4">
          <a:extLst>
            <a:ext uri="{FF2B5EF4-FFF2-40B4-BE49-F238E27FC236}">
              <a16:creationId xmlns:a16="http://schemas.microsoft.com/office/drawing/2014/main" id="{35E1CC52-D7BA-4072-AB3C-CDB69C327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63</xdr:row>
      <xdr:rowOff>0</xdr:rowOff>
    </xdr:from>
    <xdr:to>
      <xdr:col>2</xdr:col>
      <xdr:colOff>768350</xdr:colOff>
      <xdr:row>76</xdr:row>
      <xdr:rowOff>73025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7F86182-97BA-41AD-AE8B-88B84EC0BC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6323" y="11659419"/>
              <a:ext cx="1825317" cy="24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63</xdr:row>
      <xdr:rowOff>0</xdr:rowOff>
    </xdr:from>
    <xdr:to>
      <xdr:col>4</xdr:col>
      <xdr:colOff>603250</xdr:colOff>
      <xdr:row>76</xdr:row>
      <xdr:rowOff>73025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1E07FA24-B6BA-4C0B-9C53-CEB4DB9D169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18581" y="11659419"/>
              <a:ext cx="1832282" cy="24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996950</xdr:colOff>
      <xdr:row>63</xdr:row>
      <xdr:rowOff>0</xdr:rowOff>
    </xdr:from>
    <xdr:to>
      <xdr:col>7</xdr:col>
      <xdr:colOff>374650</xdr:colOff>
      <xdr:row>76</xdr:row>
      <xdr:rowOff>73025</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31957E1F-273D-48B1-9D50-9B88CBD01C2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044563" y="11659419"/>
              <a:ext cx="1827571" cy="24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267.837124305559" createdVersion="8" refreshedVersion="8" minRefreshableVersion="3" recordCount="60" xr:uid="{C7CBDF55-1FB9-4662-BDEC-9DD9CDB72C73}">
  <cacheSource type="worksheet">
    <worksheetSource name="salesdata"/>
  </cacheSource>
  <cacheFields count="12">
    <cacheField name="Order ID" numFmtId="0">
      <sharedItems containsSemiMixedTypes="0" containsString="0" containsNumber="1" containsInteger="1" minValue="1001" maxValue="1060"/>
    </cacheField>
    <cacheField name="Order Date" numFmtId="165">
      <sharedItems containsSemiMixedTypes="0" containsNonDate="0" containsDate="1" containsString="0" minDate="2025-01-05T00:00:00" maxDate="2025-12-29T00:00:00" count="60">
        <d v="2025-01-05T00:00:00"/>
        <d v="2025-01-07T00:00:00"/>
        <d v="2025-01-12T00:00:00"/>
        <d v="2025-01-18T00:00:00"/>
        <d v="2025-01-22T00:00:00"/>
        <d v="2025-02-03T00:00:00"/>
        <d v="2025-02-09T00:00:00"/>
        <d v="2025-02-15T00:00:00"/>
        <d v="2025-02-21T00:00:00"/>
        <d v="2025-02-27T00:00:00"/>
        <d v="2025-03-04T00:00:00"/>
        <d v="2025-03-11T00:00:00"/>
        <d v="2025-03-17T00:00:00"/>
        <d v="2025-03-23T00:00:00"/>
        <d v="2025-03-29T00:00:00"/>
        <d v="2025-04-02T00:00:00"/>
        <d v="2025-04-08T00:00:00"/>
        <d v="2025-04-14T00:00:00"/>
        <d v="2025-04-20T00:00:00"/>
        <d v="2025-04-26T00:00:00"/>
        <d v="2025-05-03T00:00:00"/>
        <d v="2025-05-09T00:00:00"/>
        <d v="2025-05-15T00:00:00"/>
        <d v="2025-05-21T00:00:00"/>
        <d v="2025-05-28T00:00:00"/>
        <d v="2025-06-04T00:00:00"/>
        <d v="2025-06-10T00:00:00"/>
        <d v="2025-06-16T00:00:00"/>
        <d v="2025-06-22T00:00:00"/>
        <d v="2025-06-28T00:00:00"/>
        <d v="2025-07-05T00:00:00"/>
        <d v="2025-07-11T00:00:00"/>
        <d v="2025-07-17T00:00:00"/>
        <d v="2025-07-23T00:00:00"/>
        <d v="2025-07-29T00:00:00"/>
        <d v="2025-08-04T00:00:00"/>
        <d v="2025-08-10T00:00:00"/>
        <d v="2025-08-16T00:00:00"/>
        <d v="2025-08-22T00:00:00"/>
        <d v="2025-08-28T00:00:00"/>
        <d v="2025-09-03T00:00:00"/>
        <d v="2025-09-09T00:00:00"/>
        <d v="2025-09-15T00:00:00"/>
        <d v="2025-09-21T00:00:00"/>
        <d v="2025-09-27T00:00:00"/>
        <d v="2025-10-04T00:00:00"/>
        <d v="2025-10-10T00:00:00"/>
        <d v="2025-10-16T00:00:00"/>
        <d v="2025-10-22T00:00:00"/>
        <d v="2025-10-28T00:00:00"/>
        <d v="2025-11-05T00:00:00"/>
        <d v="2025-11-11T00:00:00"/>
        <d v="2025-11-17T00:00:00"/>
        <d v="2025-11-23T00:00:00"/>
        <d v="2025-11-29T00:00:00"/>
        <d v="2025-12-04T00:00:00"/>
        <d v="2025-12-10T00:00:00"/>
        <d v="2025-12-16T00:00:00"/>
        <d v="2025-12-22T00:00:00"/>
        <d v="2025-12-28T00:00:00"/>
      </sharedItems>
      <fieldGroup par="11"/>
    </cacheField>
    <cacheField name="Region" numFmtId="0">
      <sharedItems count="4">
        <s v="South"/>
        <s v="North"/>
        <s v="East"/>
        <s v="West"/>
      </sharedItems>
    </cacheField>
    <cacheField name="Salesperson" numFmtId="0">
      <sharedItems count="5">
        <s v="Arun"/>
        <s v="Priya"/>
        <s v="Rahul"/>
        <s v="Sneha"/>
        <s v="Kiran"/>
      </sharedItems>
    </cacheField>
    <cacheField name="Product" numFmtId="0">
      <sharedItems count="5">
        <s v="Laptop"/>
        <s v="Keyboard"/>
        <s v="Monitor"/>
        <s v="Mouse"/>
        <s v="Headphones"/>
      </sharedItems>
    </cacheField>
    <cacheField name="VLOOKUP Category" numFmtId="0">
      <sharedItems/>
    </cacheField>
    <cacheField name="VLOOKUP Price" numFmtId="0">
      <sharedItems containsSemiMixedTypes="0" containsString="0" containsNumber="1" containsInteger="1" minValue="800" maxValue="55000"/>
    </cacheField>
    <cacheField name="Category" numFmtId="0">
      <sharedItems count="2">
        <s v="Electronics"/>
        <s v="Accessories"/>
      </sharedItems>
    </cacheField>
    <cacheField name="Quantity" numFmtId="0">
      <sharedItems containsSemiMixedTypes="0" containsString="0" containsNumber="1" containsInteger="1" minValue="1" maxValue="30"/>
    </cacheField>
    <cacheField name="Unit Price" numFmtId="166">
      <sharedItems containsSemiMixedTypes="0" containsString="0" containsNumber="1" containsInteger="1" minValue="800" maxValue="55000"/>
    </cacheField>
    <cacheField name="Revenue" numFmtId="166">
      <sharedItems containsSemiMixedTypes="0" containsString="0" containsNumber="1" containsInteger="1" minValue="7500" maxValue="165000"/>
    </cacheField>
    <cacheField name="Months (Order Date)" numFmtId="0" databaseField="0">
      <fieldGroup base="1">
        <rangePr groupBy="months" startDate="2025-01-05T00:00:00" endDate="2025-12-29T00:00:00"/>
        <groupItems count="14">
          <s v="&lt;05-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847947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x v="0"/>
    <x v="0"/>
    <x v="0"/>
    <x v="0"/>
    <s v="Electronics"/>
    <n v="55000"/>
    <x v="0"/>
    <n v="2"/>
    <n v="55000"/>
    <n v="110000"/>
  </r>
  <r>
    <n v="1002"/>
    <x v="1"/>
    <x v="1"/>
    <x v="1"/>
    <x v="1"/>
    <s v="Accessories"/>
    <n v="1500"/>
    <x v="1"/>
    <n v="5"/>
    <n v="1500"/>
    <n v="7500"/>
  </r>
  <r>
    <n v="1003"/>
    <x v="2"/>
    <x v="2"/>
    <x v="2"/>
    <x v="2"/>
    <s v="Electronics"/>
    <n v="12000"/>
    <x v="0"/>
    <n v="3"/>
    <n v="12000"/>
    <n v="36000"/>
  </r>
  <r>
    <n v="1004"/>
    <x v="3"/>
    <x v="3"/>
    <x v="3"/>
    <x v="3"/>
    <s v="Accessories"/>
    <n v="800"/>
    <x v="1"/>
    <n v="10"/>
    <n v="800"/>
    <n v="8000"/>
  </r>
  <r>
    <n v="1005"/>
    <x v="4"/>
    <x v="0"/>
    <x v="0"/>
    <x v="0"/>
    <s v="Electronics"/>
    <n v="55000"/>
    <x v="0"/>
    <n v="1"/>
    <n v="55000"/>
    <n v="55000"/>
  </r>
  <r>
    <n v="1006"/>
    <x v="5"/>
    <x v="1"/>
    <x v="1"/>
    <x v="4"/>
    <s v="Accessories"/>
    <n v="2000"/>
    <x v="1"/>
    <n v="6"/>
    <n v="2000"/>
    <n v="12000"/>
  </r>
  <r>
    <n v="1007"/>
    <x v="6"/>
    <x v="2"/>
    <x v="2"/>
    <x v="0"/>
    <s v="Electronics"/>
    <n v="55000"/>
    <x v="0"/>
    <n v="2"/>
    <n v="55000"/>
    <n v="110000"/>
  </r>
  <r>
    <n v="1008"/>
    <x v="7"/>
    <x v="3"/>
    <x v="3"/>
    <x v="2"/>
    <s v="Electronics"/>
    <n v="12000"/>
    <x v="0"/>
    <n v="4"/>
    <n v="12000"/>
    <n v="48000"/>
  </r>
  <r>
    <n v="1009"/>
    <x v="8"/>
    <x v="0"/>
    <x v="4"/>
    <x v="1"/>
    <s v="Accessories"/>
    <n v="1500"/>
    <x v="1"/>
    <n v="8"/>
    <n v="1500"/>
    <n v="12000"/>
  </r>
  <r>
    <n v="1010"/>
    <x v="9"/>
    <x v="1"/>
    <x v="1"/>
    <x v="3"/>
    <s v="Accessories"/>
    <n v="800"/>
    <x v="1"/>
    <n v="12"/>
    <n v="800"/>
    <n v="9600"/>
  </r>
  <r>
    <n v="1011"/>
    <x v="10"/>
    <x v="2"/>
    <x v="2"/>
    <x v="4"/>
    <s v="Accessories"/>
    <n v="2000"/>
    <x v="1"/>
    <n v="5"/>
    <n v="2000"/>
    <n v="10000"/>
  </r>
  <r>
    <n v="1012"/>
    <x v="11"/>
    <x v="0"/>
    <x v="4"/>
    <x v="2"/>
    <s v="Electronics"/>
    <n v="12000"/>
    <x v="0"/>
    <n v="3"/>
    <n v="12000"/>
    <n v="36000"/>
  </r>
  <r>
    <n v="1013"/>
    <x v="12"/>
    <x v="3"/>
    <x v="3"/>
    <x v="0"/>
    <s v="Electronics"/>
    <n v="55000"/>
    <x v="0"/>
    <n v="1"/>
    <n v="55000"/>
    <n v="55000"/>
  </r>
  <r>
    <n v="1014"/>
    <x v="13"/>
    <x v="1"/>
    <x v="1"/>
    <x v="1"/>
    <s v="Accessories"/>
    <n v="1500"/>
    <x v="1"/>
    <n v="10"/>
    <n v="1500"/>
    <n v="15000"/>
  </r>
  <r>
    <n v="1015"/>
    <x v="14"/>
    <x v="0"/>
    <x v="0"/>
    <x v="4"/>
    <s v="Accessories"/>
    <n v="2000"/>
    <x v="1"/>
    <n v="7"/>
    <n v="2000"/>
    <n v="14000"/>
  </r>
  <r>
    <n v="1016"/>
    <x v="15"/>
    <x v="2"/>
    <x v="2"/>
    <x v="2"/>
    <s v="Electronics"/>
    <n v="12000"/>
    <x v="0"/>
    <n v="5"/>
    <n v="12000"/>
    <n v="60000"/>
  </r>
  <r>
    <n v="1017"/>
    <x v="16"/>
    <x v="3"/>
    <x v="3"/>
    <x v="3"/>
    <s v="Accessories"/>
    <n v="800"/>
    <x v="1"/>
    <n v="15"/>
    <n v="800"/>
    <n v="12000"/>
  </r>
  <r>
    <n v="1018"/>
    <x v="17"/>
    <x v="0"/>
    <x v="4"/>
    <x v="0"/>
    <s v="Electronics"/>
    <n v="55000"/>
    <x v="0"/>
    <n v="2"/>
    <n v="55000"/>
    <n v="110000"/>
  </r>
  <r>
    <n v="1019"/>
    <x v="18"/>
    <x v="1"/>
    <x v="1"/>
    <x v="4"/>
    <s v="Accessories"/>
    <n v="2000"/>
    <x v="1"/>
    <n v="9"/>
    <n v="2000"/>
    <n v="18000"/>
  </r>
  <r>
    <n v="1020"/>
    <x v="19"/>
    <x v="2"/>
    <x v="2"/>
    <x v="1"/>
    <s v="Accessories"/>
    <n v="1500"/>
    <x v="1"/>
    <n v="12"/>
    <n v="1500"/>
    <n v="18000"/>
  </r>
  <r>
    <n v="1021"/>
    <x v="20"/>
    <x v="3"/>
    <x v="3"/>
    <x v="0"/>
    <s v="Electronics"/>
    <n v="55000"/>
    <x v="0"/>
    <n v="2"/>
    <n v="55000"/>
    <n v="110000"/>
  </r>
  <r>
    <n v="1022"/>
    <x v="21"/>
    <x v="0"/>
    <x v="0"/>
    <x v="2"/>
    <s v="Electronics"/>
    <n v="12000"/>
    <x v="0"/>
    <n v="4"/>
    <n v="12000"/>
    <n v="48000"/>
  </r>
  <r>
    <n v="1023"/>
    <x v="22"/>
    <x v="1"/>
    <x v="1"/>
    <x v="3"/>
    <s v="Accessories"/>
    <n v="800"/>
    <x v="1"/>
    <n v="18"/>
    <n v="800"/>
    <n v="14400"/>
  </r>
  <r>
    <n v="1024"/>
    <x v="23"/>
    <x v="2"/>
    <x v="2"/>
    <x v="4"/>
    <s v="Accessories"/>
    <n v="2000"/>
    <x v="1"/>
    <n v="8"/>
    <n v="2000"/>
    <n v="16000"/>
  </r>
  <r>
    <n v="1025"/>
    <x v="24"/>
    <x v="0"/>
    <x v="4"/>
    <x v="1"/>
    <s v="Accessories"/>
    <n v="1500"/>
    <x v="1"/>
    <n v="15"/>
    <n v="1500"/>
    <n v="22500"/>
  </r>
  <r>
    <n v="1026"/>
    <x v="25"/>
    <x v="3"/>
    <x v="3"/>
    <x v="2"/>
    <s v="Electronics"/>
    <n v="12000"/>
    <x v="0"/>
    <n v="6"/>
    <n v="12000"/>
    <n v="72000"/>
  </r>
  <r>
    <n v="1027"/>
    <x v="26"/>
    <x v="1"/>
    <x v="1"/>
    <x v="0"/>
    <s v="Electronics"/>
    <n v="55000"/>
    <x v="0"/>
    <n v="3"/>
    <n v="55000"/>
    <n v="165000"/>
  </r>
  <r>
    <n v="1028"/>
    <x v="27"/>
    <x v="2"/>
    <x v="2"/>
    <x v="3"/>
    <s v="Accessories"/>
    <n v="800"/>
    <x v="1"/>
    <n v="20"/>
    <n v="800"/>
    <n v="16000"/>
  </r>
  <r>
    <n v="1029"/>
    <x v="28"/>
    <x v="0"/>
    <x v="0"/>
    <x v="4"/>
    <s v="Accessories"/>
    <n v="2000"/>
    <x v="1"/>
    <n v="10"/>
    <n v="2000"/>
    <n v="20000"/>
  </r>
  <r>
    <n v="1030"/>
    <x v="29"/>
    <x v="3"/>
    <x v="3"/>
    <x v="1"/>
    <s v="Accessories"/>
    <n v="1500"/>
    <x v="1"/>
    <n v="14"/>
    <n v="1500"/>
    <n v="21000"/>
  </r>
  <r>
    <n v="1031"/>
    <x v="30"/>
    <x v="1"/>
    <x v="1"/>
    <x v="2"/>
    <s v="Electronics"/>
    <n v="12000"/>
    <x v="0"/>
    <n v="5"/>
    <n v="12000"/>
    <n v="60000"/>
  </r>
  <r>
    <n v="1032"/>
    <x v="31"/>
    <x v="2"/>
    <x v="2"/>
    <x v="0"/>
    <s v="Electronics"/>
    <n v="55000"/>
    <x v="0"/>
    <n v="2"/>
    <n v="55000"/>
    <n v="110000"/>
  </r>
  <r>
    <n v="1033"/>
    <x v="32"/>
    <x v="0"/>
    <x v="4"/>
    <x v="3"/>
    <s v="Accessories"/>
    <n v="800"/>
    <x v="1"/>
    <n v="22"/>
    <n v="800"/>
    <n v="17600"/>
  </r>
  <r>
    <n v="1034"/>
    <x v="33"/>
    <x v="3"/>
    <x v="3"/>
    <x v="4"/>
    <s v="Accessories"/>
    <n v="2000"/>
    <x v="1"/>
    <n v="11"/>
    <n v="2000"/>
    <n v="22000"/>
  </r>
  <r>
    <n v="1035"/>
    <x v="34"/>
    <x v="0"/>
    <x v="0"/>
    <x v="0"/>
    <s v="Electronics"/>
    <n v="55000"/>
    <x v="0"/>
    <n v="3"/>
    <n v="55000"/>
    <n v="165000"/>
  </r>
  <r>
    <n v="1036"/>
    <x v="35"/>
    <x v="2"/>
    <x v="2"/>
    <x v="2"/>
    <s v="Electronics"/>
    <n v="12000"/>
    <x v="0"/>
    <n v="7"/>
    <n v="12000"/>
    <n v="84000"/>
  </r>
  <r>
    <n v="1037"/>
    <x v="36"/>
    <x v="1"/>
    <x v="1"/>
    <x v="1"/>
    <s v="Accessories"/>
    <n v="1500"/>
    <x v="1"/>
    <n v="16"/>
    <n v="1500"/>
    <n v="24000"/>
  </r>
  <r>
    <n v="1038"/>
    <x v="37"/>
    <x v="3"/>
    <x v="3"/>
    <x v="3"/>
    <s v="Accessories"/>
    <n v="800"/>
    <x v="1"/>
    <n v="25"/>
    <n v="800"/>
    <n v="20000"/>
  </r>
  <r>
    <n v="1039"/>
    <x v="38"/>
    <x v="0"/>
    <x v="4"/>
    <x v="4"/>
    <s v="Accessories"/>
    <n v="2000"/>
    <x v="1"/>
    <n v="12"/>
    <n v="2000"/>
    <n v="24000"/>
  </r>
  <r>
    <n v="1040"/>
    <x v="39"/>
    <x v="2"/>
    <x v="2"/>
    <x v="0"/>
    <s v="Electronics"/>
    <n v="55000"/>
    <x v="0"/>
    <n v="2"/>
    <n v="55000"/>
    <n v="110000"/>
  </r>
  <r>
    <n v="1041"/>
    <x v="40"/>
    <x v="1"/>
    <x v="1"/>
    <x v="2"/>
    <s v="Electronics"/>
    <n v="12000"/>
    <x v="0"/>
    <n v="6"/>
    <n v="12000"/>
    <n v="72000"/>
  </r>
  <r>
    <n v="1042"/>
    <x v="41"/>
    <x v="0"/>
    <x v="0"/>
    <x v="1"/>
    <s v="Accessories"/>
    <n v="1500"/>
    <x v="1"/>
    <n v="18"/>
    <n v="1500"/>
    <n v="27000"/>
  </r>
  <r>
    <n v="1043"/>
    <x v="42"/>
    <x v="3"/>
    <x v="3"/>
    <x v="0"/>
    <s v="Electronics"/>
    <n v="55000"/>
    <x v="0"/>
    <n v="2"/>
    <n v="55000"/>
    <n v="110000"/>
  </r>
  <r>
    <n v="1044"/>
    <x v="43"/>
    <x v="2"/>
    <x v="2"/>
    <x v="4"/>
    <s v="Accessories"/>
    <n v="2000"/>
    <x v="1"/>
    <n v="14"/>
    <n v="2000"/>
    <n v="28000"/>
  </r>
  <r>
    <n v="1045"/>
    <x v="44"/>
    <x v="0"/>
    <x v="4"/>
    <x v="2"/>
    <s v="Electronics"/>
    <n v="12000"/>
    <x v="0"/>
    <n v="5"/>
    <n v="12000"/>
    <n v="60000"/>
  </r>
  <r>
    <n v="1046"/>
    <x v="45"/>
    <x v="1"/>
    <x v="1"/>
    <x v="3"/>
    <s v="Accessories"/>
    <n v="800"/>
    <x v="1"/>
    <n v="24"/>
    <n v="800"/>
    <n v="19200"/>
  </r>
  <r>
    <n v="1047"/>
    <x v="46"/>
    <x v="3"/>
    <x v="3"/>
    <x v="1"/>
    <s v="Accessories"/>
    <n v="1500"/>
    <x v="1"/>
    <n v="20"/>
    <n v="1500"/>
    <n v="30000"/>
  </r>
  <r>
    <n v="1048"/>
    <x v="47"/>
    <x v="2"/>
    <x v="2"/>
    <x v="0"/>
    <s v="Electronics"/>
    <n v="55000"/>
    <x v="0"/>
    <n v="3"/>
    <n v="55000"/>
    <n v="165000"/>
  </r>
  <r>
    <n v="1049"/>
    <x v="48"/>
    <x v="0"/>
    <x v="0"/>
    <x v="4"/>
    <s v="Accessories"/>
    <n v="2000"/>
    <x v="1"/>
    <n v="15"/>
    <n v="2000"/>
    <n v="30000"/>
  </r>
  <r>
    <n v="1050"/>
    <x v="49"/>
    <x v="1"/>
    <x v="1"/>
    <x v="2"/>
    <s v="Electronics"/>
    <n v="12000"/>
    <x v="0"/>
    <n v="7"/>
    <n v="12000"/>
    <n v="84000"/>
  </r>
  <r>
    <n v="1051"/>
    <x v="50"/>
    <x v="3"/>
    <x v="3"/>
    <x v="0"/>
    <s v="Electronics"/>
    <n v="55000"/>
    <x v="0"/>
    <n v="2"/>
    <n v="55000"/>
    <n v="110000"/>
  </r>
  <r>
    <n v="1052"/>
    <x v="51"/>
    <x v="0"/>
    <x v="4"/>
    <x v="3"/>
    <s v="Accessories"/>
    <n v="800"/>
    <x v="1"/>
    <n v="28"/>
    <n v="800"/>
    <n v="22400"/>
  </r>
  <r>
    <n v="1053"/>
    <x v="52"/>
    <x v="2"/>
    <x v="2"/>
    <x v="1"/>
    <s v="Accessories"/>
    <n v="1500"/>
    <x v="1"/>
    <n v="22"/>
    <n v="1500"/>
    <n v="33000"/>
  </r>
  <r>
    <n v="1054"/>
    <x v="53"/>
    <x v="1"/>
    <x v="1"/>
    <x v="4"/>
    <s v="Accessories"/>
    <n v="2000"/>
    <x v="1"/>
    <n v="16"/>
    <n v="2000"/>
    <n v="32000"/>
  </r>
  <r>
    <n v="1055"/>
    <x v="54"/>
    <x v="0"/>
    <x v="0"/>
    <x v="2"/>
    <s v="Electronics"/>
    <n v="12000"/>
    <x v="0"/>
    <n v="6"/>
    <n v="12000"/>
    <n v="72000"/>
  </r>
  <r>
    <n v="1056"/>
    <x v="55"/>
    <x v="2"/>
    <x v="2"/>
    <x v="0"/>
    <s v="Electronics"/>
    <n v="55000"/>
    <x v="0"/>
    <n v="3"/>
    <n v="55000"/>
    <n v="165000"/>
  </r>
  <r>
    <n v="1057"/>
    <x v="56"/>
    <x v="3"/>
    <x v="3"/>
    <x v="3"/>
    <s v="Accessories"/>
    <n v="800"/>
    <x v="1"/>
    <n v="30"/>
    <n v="800"/>
    <n v="24000"/>
  </r>
  <r>
    <n v="1058"/>
    <x v="57"/>
    <x v="0"/>
    <x v="4"/>
    <x v="1"/>
    <s v="Accessories"/>
    <n v="1500"/>
    <x v="1"/>
    <n v="25"/>
    <n v="1500"/>
    <n v="37500"/>
  </r>
  <r>
    <n v="1059"/>
    <x v="58"/>
    <x v="1"/>
    <x v="1"/>
    <x v="2"/>
    <s v="Electronics"/>
    <n v="12000"/>
    <x v="0"/>
    <n v="8"/>
    <n v="12000"/>
    <n v="96000"/>
  </r>
  <r>
    <n v="1060"/>
    <x v="59"/>
    <x v="0"/>
    <x v="0"/>
    <x v="0"/>
    <s v="Electronics"/>
    <n v="55000"/>
    <x v="0"/>
    <n v="2"/>
    <n v="55000"/>
    <n v="1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3A6DAD-7F8D-4380-8F4A-8108A3F4A1A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showAll="0"/>
    <pivotField numFmtId="16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5">
        <item x="2"/>
        <item x="1"/>
        <item x="0"/>
        <item x="3"/>
        <item t="default"/>
      </items>
    </pivotField>
    <pivotField showAll="0">
      <items count="6">
        <item x="0"/>
        <item x="4"/>
        <item x="1"/>
        <item x="2"/>
        <item x="3"/>
        <item t="default"/>
      </items>
    </pivotField>
    <pivotField showAll="0">
      <items count="6">
        <item x="4"/>
        <item x="1"/>
        <item x="0"/>
        <item x="2"/>
        <item x="3"/>
        <item t="default"/>
      </items>
    </pivotField>
    <pivotField showAll="0"/>
    <pivotField showAll="0"/>
    <pivotField showAll="0">
      <items count="3">
        <item x="1"/>
        <item x="0"/>
        <item t="default"/>
      </items>
    </pivotField>
    <pivotField showAll="0"/>
    <pivotField numFmtId="166" showAll="0"/>
    <pivotField dataField="1" numFmtId="166"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10"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48F8E-3F00-4ED7-8272-6800BE95232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3:C9" firstHeaderRow="0" firstDataRow="1" firstDataCol="1"/>
  <pivotFields count="12">
    <pivotField showAll="0"/>
    <pivotField numFmtId="16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5">
        <item x="2"/>
        <item x="1"/>
        <item x="0"/>
        <item x="3"/>
        <item t="default"/>
      </items>
    </pivotField>
    <pivotField showAll="0">
      <items count="6">
        <item x="0"/>
        <item x="4"/>
        <item x="1"/>
        <item x="2"/>
        <item x="3"/>
        <item t="default"/>
      </items>
    </pivotField>
    <pivotField axis="axisRow" showAll="0">
      <items count="6">
        <item x="4"/>
        <item x="1"/>
        <item x="0"/>
        <item x="2"/>
        <item x="3"/>
        <item t="default"/>
      </items>
    </pivotField>
    <pivotField showAll="0"/>
    <pivotField showAll="0"/>
    <pivotField showAll="0">
      <items count="3">
        <item x="1"/>
        <item x="0"/>
        <item t="default"/>
      </items>
    </pivotField>
    <pivotField dataField="1" showAll="0"/>
    <pivotField numFmtId="166" showAll="0"/>
    <pivotField dataField="1" numFmtId="166"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Revenue" fld="10" baseField="0" baseItem="0" numFmtId="166"/>
    <dataField name="Sum of Quantity" fld="8"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8F7ED-7F0B-4DC8-A8E8-F2BE017F9CB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A3:B9" firstHeaderRow="1" firstDataRow="1" firstDataCol="1"/>
  <pivotFields count="12">
    <pivotField showAll="0"/>
    <pivotField numFmtId="16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5">
        <item x="2"/>
        <item x="1"/>
        <item x="0"/>
        <item x="3"/>
        <item t="default"/>
      </items>
    </pivotField>
    <pivotField axis="axisRow" showAll="0">
      <items count="6">
        <item x="0"/>
        <item x="4"/>
        <item x="1"/>
        <item x="2"/>
        <item x="3"/>
        <item t="default"/>
      </items>
    </pivotField>
    <pivotField showAll="0">
      <items count="6">
        <item x="4"/>
        <item x="1"/>
        <item x="0"/>
        <item x="2"/>
        <item x="3"/>
        <item t="default"/>
      </items>
    </pivotField>
    <pivotField showAll="0"/>
    <pivotField showAll="0"/>
    <pivotField showAll="0">
      <items count="3">
        <item x="1"/>
        <item x="0"/>
        <item t="default"/>
      </items>
    </pivotField>
    <pivotField showAll="0"/>
    <pivotField numFmtId="166" showAll="0"/>
    <pivotField dataField="1" numFmtId="166"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Revenue" fld="10"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2BABB-9B83-48E5-8936-CF523ADAF71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A3:B16" firstHeaderRow="1" firstDataRow="1" firstDataCol="1"/>
  <pivotFields count="12">
    <pivotField showAll="0"/>
    <pivotField numFmtId="16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5">
        <item x="2"/>
        <item x="1"/>
        <item x="0"/>
        <item x="3"/>
        <item t="default"/>
      </items>
    </pivotField>
    <pivotField showAll="0">
      <items count="6">
        <item x="0"/>
        <item x="4"/>
        <item x="1"/>
        <item x="2"/>
        <item x="3"/>
        <item t="default"/>
      </items>
    </pivotField>
    <pivotField showAll="0">
      <items count="6">
        <item x="4"/>
        <item x="1"/>
        <item x="0"/>
        <item x="2"/>
        <item x="3"/>
        <item t="default"/>
      </items>
    </pivotField>
    <pivotField showAll="0"/>
    <pivotField showAll="0"/>
    <pivotField showAll="0">
      <items count="3">
        <item x="1"/>
        <item x="0"/>
        <item t="default"/>
      </items>
    </pivotField>
    <pivotField showAll="0"/>
    <pivotField numFmtId="166" showAll="0"/>
    <pivotField dataField="1" numFmtId="166" showAll="0"/>
    <pivotField axis="axisRow" showAll="0">
      <items count="15">
        <item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Revenue" fld="10" baseField="0" baseItem="0" numFmtId="166"/>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36F7C7-6C26-4E2A-A6FF-B84BEBB1E3B5}" sourceName="Category">
  <pivotTables>
    <pivotTable tabId="7" name="PivotTable3"/>
    <pivotTable tabId="9" name="PivotTable5"/>
    <pivotTable tabId="4" name="PivotTable1"/>
    <pivotTable tabId="8" name="PivotTable4"/>
  </pivotTables>
  <data>
    <tabular pivotCacheId="18479475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E7680E-4020-49A0-ADD0-B51C90D17B83}" sourceName="Region">
  <pivotTables>
    <pivotTable tabId="7" name="PivotTable3"/>
    <pivotTable tabId="9" name="PivotTable5"/>
    <pivotTable tabId="4" name="PivotTable1"/>
    <pivotTable tabId="8" name="PivotTable4"/>
  </pivotTables>
  <data>
    <tabular pivotCacheId="184794751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FE0040B-1BB4-4503-A9E1-8558333D24AE}" sourceName="Product">
  <pivotTables>
    <pivotTable tabId="7" name="PivotTable3"/>
    <pivotTable tabId="9" name="PivotTable5"/>
    <pivotTable tabId="4" name="PivotTable1"/>
    <pivotTable tabId="8" name="PivotTable4"/>
  </pivotTables>
  <data>
    <tabular pivotCacheId="1847947513">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DC304D3-6B76-4BF7-857C-48F5980D794F}" sourceName="Salesperson">
  <pivotTables>
    <pivotTable tabId="7" name="PivotTable3"/>
    <pivotTable tabId="9" name="PivotTable5"/>
    <pivotTable tabId="4" name="PivotTable1"/>
    <pivotTable tabId="8" name="PivotTable4"/>
  </pivotTables>
  <data>
    <tabular pivotCacheId="1847947513">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DA62F9-B438-4FCE-960B-A3748F78FB1A}"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ADF0B7-2FA8-4EB4-9B7D-A04DB3C15A2B}" cache="Slicer_Region" caption="Region" rowHeight="234950"/>
  <slicer name="Product" xr10:uid="{7A0C790B-00EC-4674-82B1-0A02B23FAF57}" cache="Slicer_Product" caption="Product" rowHeight="234950"/>
  <slicer name="Salesperson" xr10:uid="{D2A87F2E-D1BA-4FC7-B59B-9C69BEE2FED6}"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12E596-CCFF-427A-B925-BB284EB45FF3}" name="salesdata" displayName="salesdata" ref="A1:K61" totalsRowShown="0" headerRowDxfId="2" headerRowBorderDxfId="6" tableBorderDxfId="7">
  <autoFilter ref="A1:K61" xr:uid="{4F12E596-CCFF-427A-B925-BB284EB45FF3}"/>
  <tableColumns count="11">
    <tableColumn id="1" xr3:uid="{627A07E2-239D-404A-A38A-CB734003B58F}" name="Order ID"/>
    <tableColumn id="2" xr3:uid="{AA9DEC18-CE61-49B7-AE85-43A268B4344F}" name="Order Date" dataDxfId="5"/>
    <tableColumn id="3" xr3:uid="{52B053B8-5589-4F43-8B2B-CBB481C4CED4}" name="Region"/>
    <tableColumn id="4" xr3:uid="{2CB7229D-B15B-4311-B41E-DA9D86AB76CF}" name="Salesperson"/>
    <tableColumn id="5" xr3:uid="{8F13E705-3F09-45F8-9D63-D2A39B1E47E9}" name="Product"/>
    <tableColumn id="10" xr3:uid="{BC934577-AA72-4295-A85C-94B3350BA407}" name="VLOOKUP Category" dataDxfId="1">
      <calculatedColumnFormula>VLOOKUP(E2,'Product Details'!A:C,2,FALSE)</calculatedColumnFormula>
    </tableColumn>
    <tableColumn id="13" xr3:uid="{63103200-C821-44B0-B1FA-E3DC7BBB3791}" name="VLOOKUP Price" dataDxfId="0">
      <calculatedColumnFormula>VLOOKUP(E2,'Product Details'!A:C,3,FALSE)</calculatedColumnFormula>
    </tableColumn>
    <tableColumn id="6" xr3:uid="{C53E09B0-D410-4E36-AD61-ADB85F5B9AFB}" name="Category"/>
    <tableColumn id="7" xr3:uid="{BB7E28F4-44CB-4550-B160-E172DF80EE6E}" name="Quantity"/>
    <tableColumn id="8" xr3:uid="{DC2AD82A-F5A5-4A88-AE93-62B5A731D881}" name="Unit Price" dataDxfId="4"/>
    <tableColumn id="9" xr3:uid="{5A768D90-BDA0-4889-92A3-D354E3FC6936}" name="Revenu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7105-84D0-46B2-931F-F3B9BAE056C7}">
  <dimension ref="A3:B8"/>
  <sheetViews>
    <sheetView topLeftCell="E1" workbookViewId="0">
      <selection activeCell="I9" sqref="I9"/>
    </sheetView>
  </sheetViews>
  <sheetFormatPr defaultRowHeight="14.4" x14ac:dyDescent="0.3"/>
  <cols>
    <col min="1" max="1" width="12.5546875" bestFit="1" customWidth="1"/>
    <col min="2" max="2" width="14.88671875" bestFit="1" customWidth="1"/>
  </cols>
  <sheetData>
    <row r="3" spans="1:2" x14ac:dyDescent="0.3">
      <c r="A3" s="6" t="s">
        <v>34</v>
      </c>
      <c r="B3" t="s">
        <v>36</v>
      </c>
    </row>
    <row r="4" spans="1:2" x14ac:dyDescent="0.3">
      <c r="A4" s="7" t="s">
        <v>17</v>
      </c>
      <c r="B4" s="3">
        <v>961000</v>
      </c>
    </row>
    <row r="5" spans="1:2" x14ac:dyDescent="0.3">
      <c r="A5" s="7" t="s">
        <v>13</v>
      </c>
      <c r="B5" s="3">
        <v>628700</v>
      </c>
    </row>
    <row r="6" spans="1:2" x14ac:dyDescent="0.3">
      <c r="A6" s="7" t="s">
        <v>9</v>
      </c>
      <c r="B6" s="3">
        <v>993000</v>
      </c>
    </row>
    <row r="7" spans="1:2" x14ac:dyDescent="0.3">
      <c r="A7" s="7" t="s">
        <v>20</v>
      </c>
      <c r="B7" s="3">
        <v>642000</v>
      </c>
    </row>
    <row r="8" spans="1:2" x14ac:dyDescent="0.3">
      <c r="A8" s="7" t="s">
        <v>35</v>
      </c>
      <c r="B8" s="3">
        <v>3224700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0120-05C6-4159-A496-C82ECD8C5847}">
  <dimension ref="A3:C9"/>
  <sheetViews>
    <sheetView topLeftCell="D1" workbookViewId="0">
      <selection activeCell="L24" sqref="L24"/>
    </sheetView>
  </sheetViews>
  <sheetFormatPr defaultRowHeight="14.4" x14ac:dyDescent="0.3"/>
  <cols>
    <col min="1" max="1" width="11.109375" bestFit="1" customWidth="1"/>
    <col min="2" max="3" width="14.88671875" bestFit="1" customWidth="1"/>
  </cols>
  <sheetData>
    <row r="3" spans="1:3" x14ac:dyDescent="0.3">
      <c r="A3" s="6" t="s">
        <v>38</v>
      </c>
      <c r="B3" t="s">
        <v>36</v>
      </c>
      <c r="C3" t="s">
        <v>37</v>
      </c>
    </row>
    <row r="4" spans="1:3" x14ac:dyDescent="0.3">
      <c r="A4" s="7" t="s">
        <v>23</v>
      </c>
      <c r="B4" s="3">
        <v>226000</v>
      </c>
      <c r="C4" s="8">
        <v>113</v>
      </c>
    </row>
    <row r="5" spans="1:3" x14ac:dyDescent="0.3">
      <c r="A5" s="7" t="s">
        <v>15</v>
      </c>
      <c r="B5" s="3">
        <v>247500</v>
      </c>
      <c r="C5" s="8">
        <v>165</v>
      </c>
    </row>
    <row r="6" spans="1:3" x14ac:dyDescent="0.3">
      <c r="A6" s="7" t="s">
        <v>11</v>
      </c>
      <c r="B6" s="3">
        <v>1760000</v>
      </c>
      <c r="C6" s="8">
        <v>32</v>
      </c>
    </row>
    <row r="7" spans="1:3" x14ac:dyDescent="0.3">
      <c r="A7" s="7" t="s">
        <v>19</v>
      </c>
      <c r="B7" s="3">
        <v>828000</v>
      </c>
      <c r="C7" s="8">
        <v>69</v>
      </c>
    </row>
    <row r="8" spans="1:3" x14ac:dyDescent="0.3">
      <c r="A8" s="7" t="s">
        <v>22</v>
      </c>
      <c r="B8" s="3">
        <v>163200</v>
      </c>
      <c r="C8" s="8">
        <v>204</v>
      </c>
    </row>
    <row r="9" spans="1:3" x14ac:dyDescent="0.3">
      <c r="A9" s="7" t="s">
        <v>35</v>
      </c>
      <c r="B9" s="3">
        <v>3224700</v>
      </c>
      <c r="C9" s="8">
        <v>583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D54E-FBC2-4882-B2F4-10CD68E7E4CD}">
  <dimension ref="A3:B9"/>
  <sheetViews>
    <sheetView workbookViewId="0">
      <selection activeCell="J6" sqref="J6"/>
    </sheetView>
  </sheetViews>
  <sheetFormatPr defaultRowHeight="14.4" x14ac:dyDescent="0.3"/>
  <cols>
    <col min="1" max="1" width="13" bestFit="1" customWidth="1"/>
    <col min="2" max="2" width="14.88671875" bestFit="1" customWidth="1"/>
  </cols>
  <sheetData>
    <row r="3" spans="1:2" x14ac:dyDescent="0.3">
      <c r="A3" s="6" t="s">
        <v>39</v>
      </c>
      <c r="B3" t="s">
        <v>36</v>
      </c>
    </row>
    <row r="4" spans="1:2" x14ac:dyDescent="0.3">
      <c r="A4" s="7" t="s">
        <v>10</v>
      </c>
      <c r="B4" s="3">
        <v>651000</v>
      </c>
    </row>
    <row r="5" spans="1:2" x14ac:dyDescent="0.3">
      <c r="A5" s="7" t="s">
        <v>24</v>
      </c>
      <c r="B5" s="3">
        <v>342000</v>
      </c>
    </row>
    <row r="6" spans="1:2" x14ac:dyDescent="0.3">
      <c r="A6" s="7" t="s">
        <v>14</v>
      </c>
      <c r="B6" s="3">
        <v>628700</v>
      </c>
    </row>
    <row r="7" spans="1:2" x14ac:dyDescent="0.3">
      <c r="A7" s="7" t="s">
        <v>18</v>
      </c>
      <c r="B7" s="3">
        <v>961000</v>
      </c>
    </row>
    <row r="8" spans="1:2" x14ac:dyDescent="0.3">
      <c r="A8" s="7" t="s">
        <v>21</v>
      </c>
      <c r="B8" s="3">
        <v>642000</v>
      </c>
    </row>
    <row r="9" spans="1:2" x14ac:dyDescent="0.3">
      <c r="A9" s="7" t="s">
        <v>35</v>
      </c>
      <c r="B9" s="3">
        <v>3224700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5469A-C314-48FD-ACB0-211D8773B0C4}">
  <dimension ref="A3:B16"/>
  <sheetViews>
    <sheetView topLeftCell="A3" workbookViewId="0">
      <selection activeCell="E14" sqref="E14"/>
    </sheetView>
  </sheetViews>
  <sheetFormatPr defaultRowHeight="14.4" x14ac:dyDescent="0.3"/>
  <cols>
    <col min="1" max="1" width="10.77734375" bestFit="1" customWidth="1"/>
    <col min="2" max="2" width="14.88671875" bestFit="1" customWidth="1"/>
  </cols>
  <sheetData>
    <row r="3" spans="1:2" x14ac:dyDescent="0.3">
      <c r="A3" s="6" t="s">
        <v>52</v>
      </c>
      <c r="B3" t="s">
        <v>36</v>
      </c>
    </row>
    <row r="4" spans="1:2" x14ac:dyDescent="0.3">
      <c r="A4" s="7" t="s">
        <v>40</v>
      </c>
      <c r="B4" s="3">
        <v>216500</v>
      </c>
    </row>
    <row r="5" spans="1:2" x14ac:dyDescent="0.3">
      <c r="A5" s="7" t="s">
        <v>41</v>
      </c>
      <c r="B5" s="3">
        <v>191600</v>
      </c>
    </row>
    <row r="6" spans="1:2" x14ac:dyDescent="0.3">
      <c r="A6" s="7" t="s">
        <v>42</v>
      </c>
      <c r="B6" s="3">
        <v>130000</v>
      </c>
    </row>
    <row r="7" spans="1:2" x14ac:dyDescent="0.3">
      <c r="A7" s="7" t="s">
        <v>43</v>
      </c>
      <c r="B7" s="3">
        <v>218000</v>
      </c>
    </row>
    <row r="8" spans="1:2" x14ac:dyDescent="0.3">
      <c r="A8" s="7" t="s">
        <v>44</v>
      </c>
      <c r="B8" s="3">
        <v>210900</v>
      </c>
    </row>
    <row r="9" spans="1:2" x14ac:dyDescent="0.3">
      <c r="A9" s="7" t="s">
        <v>45</v>
      </c>
      <c r="B9" s="3">
        <v>294000</v>
      </c>
    </row>
    <row r="10" spans="1:2" x14ac:dyDescent="0.3">
      <c r="A10" s="7" t="s">
        <v>46</v>
      </c>
      <c r="B10" s="3">
        <v>374600</v>
      </c>
    </row>
    <row r="11" spans="1:2" x14ac:dyDescent="0.3">
      <c r="A11" s="7" t="s">
        <v>47</v>
      </c>
      <c r="B11" s="3">
        <v>262000</v>
      </c>
    </row>
    <row r="12" spans="1:2" x14ac:dyDescent="0.3">
      <c r="A12" s="7" t="s">
        <v>48</v>
      </c>
      <c r="B12" s="3">
        <v>297000</v>
      </c>
    </row>
    <row r="13" spans="1:2" x14ac:dyDescent="0.3">
      <c r="A13" s="7" t="s">
        <v>49</v>
      </c>
      <c r="B13" s="3">
        <v>328200</v>
      </c>
    </row>
    <row r="14" spans="1:2" x14ac:dyDescent="0.3">
      <c r="A14" s="7" t="s">
        <v>50</v>
      </c>
      <c r="B14" s="3">
        <v>269400</v>
      </c>
    </row>
    <row r="15" spans="1:2" x14ac:dyDescent="0.3">
      <c r="A15" s="7" t="s">
        <v>51</v>
      </c>
      <c r="B15" s="3">
        <v>432500</v>
      </c>
    </row>
    <row r="16" spans="1:2" x14ac:dyDescent="0.3">
      <c r="A16" s="7" t="s">
        <v>35</v>
      </c>
      <c r="B16" s="3">
        <v>3224700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C55C-296C-4F5E-8960-951B4AE7C847}">
  <dimension ref="A1:M84"/>
  <sheetViews>
    <sheetView showGridLines="0" tabSelected="1" topLeftCell="A67" zoomScale="93" workbookViewId="0">
      <selection activeCell="F10" sqref="F10"/>
    </sheetView>
  </sheetViews>
  <sheetFormatPr defaultRowHeight="14.4" x14ac:dyDescent="0.3"/>
  <cols>
    <col min="2" max="2" width="15.44140625" customWidth="1"/>
    <col min="3" max="3" width="16.88671875" customWidth="1"/>
    <col min="4" max="4" width="17.88671875" customWidth="1"/>
    <col min="5" max="5" width="18" customWidth="1"/>
    <col min="13" max="13" width="22.21875" customWidth="1"/>
  </cols>
  <sheetData>
    <row r="1" spans="1:13" x14ac:dyDescent="0.3">
      <c r="A1" s="15" t="s">
        <v>53</v>
      </c>
      <c r="B1" s="9"/>
      <c r="C1" s="9"/>
      <c r="D1" s="9"/>
      <c r="E1" s="9"/>
      <c r="F1" s="9"/>
      <c r="G1" s="9"/>
      <c r="H1" s="9"/>
      <c r="I1" s="9"/>
      <c r="J1" s="9"/>
      <c r="K1" s="9"/>
      <c r="L1" s="9"/>
      <c r="M1" s="9"/>
    </row>
    <row r="2" spans="1:13" x14ac:dyDescent="0.3">
      <c r="A2" s="9"/>
      <c r="B2" s="9"/>
      <c r="C2" s="9"/>
      <c r="D2" s="9"/>
      <c r="E2" s="9"/>
      <c r="F2" s="9"/>
      <c r="G2" s="9"/>
      <c r="H2" s="9"/>
      <c r="I2" s="9"/>
      <c r="J2" s="9"/>
      <c r="K2" s="9"/>
      <c r="L2" s="9"/>
      <c r="M2" s="9"/>
    </row>
    <row r="3" spans="1:13" x14ac:dyDescent="0.3">
      <c r="A3" s="9"/>
      <c r="B3" s="9"/>
      <c r="C3" s="9"/>
      <c r="D3" s="9"/>
      <c r="E3" s="9"/>
      <c r="F3" s="9"/>
      <c r="G3" s="9"/>
      <c r="H3" s="9"/>
      <c r="I3" s="9"/>
      <c r="J3" s="9"/>
      <c r="K3" s="9"/>
      <c r="L3" s="9"/>
      <c r="M3" s="9"/>
    </row>
    <row r="5" spans="1:13" ht="23.4" x14ac:dyDescent="0.45">
      <c r="B5" s="11" t="s">
        <v>54</v>
      </c>
      <c r="C5" s="11"/>
      <c r="D5" s="11"/>
      <c r="E5" s="11" t="s">
        <v>55</v>
      </c>
      <c r="F5" s="11"/>
      <c r="G5" s="11"/>
      <c r="H5" s="11" t="s">
        <v>56</v>
      </c>
      <c r="I5" s="10"/>
      <c r="J5" s="10"/>
      <c r="K5" s="11" t="s">
        <v>57</v>
      </c>
      <c r="L5" s="10"/>
      <c r="M5" s="10"/>
    </row>
    <row r="6" spans="1:13" x14ac:dyDescent="0.3">
      <c r="B6" s="10">
        <f>'KPI Summary'!B2</f>
        <v>1027500</v>
      </c>
      <c r="C6" s="10"/>
      <c r="D6" s="10"/>
      <c r="E6" s="10">
        <f>'KPI Summary'!B4</f>
        <v>60</v>
      </c>
      <c r="F6" s="10"/>
      <c r="G6" s="10"/>
      <c r="H6" s="12">
        <f>'KPI Summary'!B3</f>
        <v>583</v>
      </c>
      <c r="I6" s="12"/>
      <c r="J6" s="12"/>
      <c r="K6" s="12">
        <f>'KPI Summary'!B5</f>
        <v>17125</v>
      </c>
      <c r="L6" s="12"/>
      <c r="M6" s="12"/>
    </row>
    <row r="61" spans="2:2" ht="28.8" x14ac:dyDescent="0.55000000000000004">
      <c r="B61" s="13" t="s">
        <v>58</v>
      </c>
    </row>
    <row r="79" spans="2:2" ht="23.4" x14ac:dyDescent="0.45">
      <c r="B79" s="14" t="s">
        <v>59</v>
      </c>
    </row>
    <row r="80" spans="2:2" x14ac:dyDescent="0.3">
      <c r="B80" t="s">
        <v>60</v>
      </c>
    </row>
    <row r="81" spans="2:2" x14ac:dyDescent="0.3">
      <c r="B81" t="s">
        <v>61</v>
      </c>
    </row>
    <row r="82" spans="2:2" x14ac:dyDescent="0.3">
      <c r="B82" t="s">
        <v>62</v>
      </c>
    </row>
    <row r="83" spans="2:2" x14ac:dyDescent="0.3">
      <c r="B83" t="s">
        <v>63</v>
      </c>
    </row>
    <row r="84" spans="2:2" x14ac:dyDescent="0.3">
      <c r="B84" t="s">
        <v>64</v>
      </c>
    </row>
  </sheetData>
  <mergeCells count="9">
    <mergeCell ref="H6:J6"/>
    <mergeCell ref="K5:M5"/>
    <mergeCell ref="K6:M6"/>
    <mergeCell ref="A1:M3"/>
    <mergeCell ref="B5:D5"/>
    <mergeCell ref="B6:D6"/>
    <mergeCell ref="E5:G5"/>
    <mergeCell ref="E6:G6"/>
    <mergeCell ref="H5: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workbookViewId="0">
      <pane ySplit="1" topLeftCell="A2" activePane="bottomLeft" state="frozen"/>
      <selection pane="bottomLeft" activeCell="C16" sqref="C16"/>
    </sheetView>
  </sheetViews>
  <sheetFormatPr defaultRowHeight="14.4" x14ac:dyDescent="0.3"/>
  <cols>
    <col min="1" max="1" width="12" customWidth="1"/>
    <col min="2" max="2" width="21" customWidth="1"/>
    <col min="3" max="3" width="12" customWidth="1"/>
    <col min="4" max="4" width="13" customWidth="1"/>
    <col min="5" max="6" width="12" customWidth="1"/>
    <col min="7" max="7" width="13" customWidth="1"/>
    <col min="8" max="10" width="12" customWidth="1"/>
  </cols>
  <sheetData>
    <row r="1" spans="1:11" x14ac:dyDescent="0.3">
      <c r="A1" s="4" t="s">
        <v>0</v>
      </c>
      <c r="B1" s="4" t="s">
        <v>1</v>
      </c>
      <c r="C1" s="4" t="s">
        <v>2</v>
      </c>
      <c r="D1" s="4" t="s">
        <v>3</v>
      </c>
      <c r="E1" s="4" t="s">
        <v>4</v>
      </c>
      <c r="F1" s="5" t="s">
        <v>31</v>
      </c>
      <c r="G1" s="5" t="s">
        <v>32</v>
      </c>
      <c r="H1" s="4" t="s">
        <v>5</v>
      </c>
      <c r="I1" s="4" t="s">
        <v>6</v>
      </c>
      <c r="J1" s="4" t="s">
        <v>7</v>
      </c>
      <c r="K1" s="4" t="s">
        <v>8</v>
      </c>
    </row>
    <row r="2" spans="1:11" x14ac:dyDescent="0.3">
      <c r="A2">
        <v>1001</v>
      </c>
      <c r="B2" s="2">
        <v>45662</v>
      </c>
      <c r="C2" t="s">
        <v>9</v>
      </c>
      <c r="D2" t="s">
        <v>10</v>
      </c>
      <c r="E2" t="s">
        <v>11</v>
      </c>
      <c r="F2" t="str">
        <f>VLOOKUP(E2,'Product Details'!A:C,2,FALSE)</f>
        <v>Electronics</v>
      </c>
      <c r="G2">
        <f>VLOOKUP(E2,'Product Details'!A:C,3,FALSE)</f>
        <v>55000</v>
      </c>
      <c r="H2" t="s">
        <v>12</v>
      </c>
      <c r="I2">
        <v>2</v>
      </c>
      <c r="J2" s="3">
        <v>55000</v>
      </c>
      <c r="K2" s="3">
        <v>110000</v>
      </c>
    </row>
    <row r="3" spans="1:11" x14ac:dyDescent="0.3">
      <c r="A3">
        <v>1002</v>
      </c>
      <c r="B3" s="2">
        <v>45664</v>
      </c>
      <c r="C3" t="s">
        <v>13</v>
      </c>
      <c r="D3" t="s">
        <v>14</v>
      </c>
      <c r="E3" t="s">
        <v>15</v>
      </c>
      <c r="F3" t="str">
        <f>VLOOKUP(E3,'Product Details'!A:C,2,FALSE)</f>
        <v>Accessories</v>
      </c>
      <c r="G3">
        <f>VLOOKUP(E3,'Product Details'!A:C,3,FALSE)</f>
        <v>1500</v>
      </c>
      <c r="H3" t="s">
        <v>16</v>
      </c>
      <c r="I3">
        <v>5</v>
      </c>
      <c r="J3" s="3">
        <v>1500</v>
      </c>
      <c r="K3" s="3">
        <v>7500</v>
      </c>
    </row>
    <row r="4" spans="1:11" x14ac:dyDescent="0.3">
      <c r="A4">
        <v>1003</v>
      </c>
      <c r="B4" s="2">
        <v>45669</v>
      </c>
      <c r="C4" t="s">
        <v>17</v>
      </c>
      <c r="D4" t="s">
        <v>18</v>
      </c>
      <c r="E4" t="s">
        <v>19</v>
      </c>
      <c r="F4" t="str">
        <f>VLOOKUP(E4,'Product Details'!A:C,2,FALSE)</f>
        <v>Electronics</v>
      </c>
      <c r="G4">
        <f>VLOOKUP(E4,'Product Details'!A:C,3,FALSE)</f>
        <v>12000</v>
      </c>
      <c r="H4" t="s">
        <v>12</v>
      </c>
      <c r="I4">
        <v>3</v>
      </c>
      <c r="J4" s="3">
        <v>12000</v>
      </c>
      <c r="K4" s="3">
        <v>36000</v>
      </c>
    </row>
    <row r="5" spans="1:11" x14ac:dyDescent="0.3">
      <c r="A5">
        <v>1004</v>
      </c>
      <c r="B5" s="2">
        <v>45675</v>
      </c>
      <c r="C5" t="s">
        <v>20</v>
      </c>
      <c r="D5" t="s">
        <v>21</v>
      </c>
      <c r="E5" t="s">
        <v>22</v>
      </c>
      <c r="F5" t="str">
        <f>VLOOKUP(E5,'Product Details'!A:C,2,FALSE)</f>
        <v>Accessories</v>
      </c>
      <c r="G5">
        <f>VLOOKUP(E5,'Product Details'!A:C,3,FALSE)</f>
        <v>800</v>
      </c>
      <c r="H5" t="s">
        <v>16</v>
      </c>
      <c r="I5">
        <v>10</v>
      </c>
      <c r="J5" s="3">
        <v>800</v>
      </c>
      <c r="K5" s="3">
        <v>8000</v>
      </c>
    </row>
    <row r="6" spans="1:11" x14ac:dyDescent="0.3">
      <c r="A6">
        <v>1005</v>
      </c>
      <c r="B6" s="2">
        <v>45679</v>
      </c>
      <c r="C6" t="s">
        <v>9</v>
      </c>
      <c r="D6" t="s">
        <v>10</v>
      </c>
      <c r="E6" t="s">
        <v>11</v>
      </c>
      <c r="F6" t="str">
        <f>VLOOKUP(E6,'Product Details'!A:C,2,FALSE)</f>
        <v>Electronics</v>
      </c>
      <c r="G6">
        <f>VLOOKUP(E6,'Product Details'!A:C,3,FALSE)</f>
        <v>55000</v>
      </c>
      <c r="H6" t="s">
        <v>12</v>
      </c>
      <c r="I6">
        <v>1</v>
      </c>
      <c r="J6" s="3">
        <v>55000</v>
      </c>
      <c r="K6" s="3">
        <v>55000</v>
      </c>
    </row>
    <row r="7" spans="1:11" x14ac:dyDescent="0.3">
      <c r="A7">
        <v>1006</v>
      </c>
      <c r="B7" s="2">
        <v>45691</v>
      </c>
      <c r="C7" t="s">
        <v>13</v>
      </c>
      <c r="D7" t="s">
        <v>14</v>
      </c>
      <c r="E7" t="s">
        <v>23</v>
      </c>
      <c r="F7" t="str">
        <f>VLOOKUP(E7,'Product Details'!A:C,2,FALSE)</f>
        <v>Accessories</v>
      </c>
      <c r="G7">
        <f>VLOOKUP(E7,'Product Details'!A:C,3,FALSE)</f>
        <v>2000</v>
      </c>
      <c r="H7" t="s">
        <v>16</v>
      </c>
      <c r="I7">
        <v>6</v>
      </c>
      <c r="J7" s="3">
        <v>2000</v>
      </c>
      <c r="K7" s="3">
        <v>12000</v>
      </c>
    </row>
    <row r="8" spans="1:11" x14ac:dyDescent="0.3">
      <c r="A8">
        <v>1007</v>
      </c>
      <c r="B8" s="2">
        <v>45697</v>
      </c>
      <c r="C8" t="s">
        <v>17</v>
      </c>
      <c r="D8" t="s">
        <v>18</v>
      </c>
      <c r="E8" t="s">
        <v>11</v>
      </c>
      <c r="F8" t="str">
        <f>VLOOKUP(E8,'Product Details'!A:C,2,FALSE)</f>
        <v>Electronics</v>
      </c>
      <c r="G8">
        <f>VLOOKUP(E8,'Product Details'!A:C,3,FALSE)</f>
        <v>55000</v>
      </c>
      <c r="H8" t="s">
        <v>12</v>
      </c>
      <c r="I8">
        <v>2</v>
      </c>
      <c r="J8" s="3">
        <v>55000</v>
      </c>
      <c r="K8" s="3">
        <v>110000</v>
      </c>
    </row>
    <row r="9" spans="1:11" x14ac:dyDescent="0.3">
      <c r="A9">
        <v>1008</v>
      </c>
      <c r="B9" s="2">
        <v>45703</v>
      </c>
      <c r="C9" t="s">
        <v>20</v>
      </c>
      <c r="D9" t="s">
        <v>21</v>
      </c>
      <c r="E9" t="s">
        <v>19</v>
      </c>
      <c r="F9" t="str">
        <f>VLOOKUP(E9,'Product Details'!A:C,2,FALSE)</f>
        <v>Electronics</v>
      </c>
      <c r="G9">
        <f>VLOOKUP(E9,'Product Details'!A:C,3,FALSE)</f>
        <v>12000</v>
      </c>
      <c r="H9" t="s">
        <v>12</v>
      </c>
      <c r="I9">
        <v>4</v>
      </c>
      <c r="J9" s="3">
        <v>12000</v>
      </c>
      <c r="K9" s="3">
        <v>48000</v>
      </c>
    </row>
    <row r="10" spans="1:11" x14ac:dyDescent="0.3">
      <c r="A10">
        <v>1009</v>
      </c>
      <c r="B10" s="2">
        <v>45709</v>
      </c>
      <c r="C10" t="s">
        <v>9</v>
      </c>
      <c r="D10" t="s">
        <v>24</v>
      </c>
      <c r="E10" t="s">
        <v>15</v>
      </c>
      <c r="F10" t="str">
        <f>VLOOKUP(E10,'Product Details'!A:C,2,FALSE)</f>
        <v>Accessories</v>
      </c>
      <c r="G10">
        <f>VLOOKUP(E10,'Product Details'!A:C,3,FALSE)</f>
        <v>1500</v>
      </c>
      <c r="H10" t="s">
        <v>16</v>
      </c>
      <c r="I10">
        <v>8</v>
      </c>
      <c r="J10" s="3">
        <v>1500</v>
      </c>
      <c r="K10" s="3">
        <v>12000</v>
      </c>
    </row>
    <row r="11" spans="1:11" x14ac:dyDescent="0.3">
      <c r="A11">
        <v>1010</v>
      </c>
      <c r="B11" s="2">
        <v>45715</v>
      </c>
      <c r="C11" t="s">
        <v>13</v>
      </c>
      <c r="D11" t="s">
        <v>14</v>
      </c>
      <c r="E11" t="s">
        <v>22</v>
      </c>
      <c r="F11" t="str">
        <f>VLOOKUP(E11,'Product Details'!A:C,2,FALSE)</f>
        <v>Accessories</v>
      </c>
      <c r="G11">
        <f>VLOOKUP(E11,'Product Details'!A:C,3,FALSE)</f>
        <v>800</v>
      </c>
      <c r="H11" t="s">
        <v>16</v>
      </c>
      <c r="I11">
        <v>12</v>
      </c>
      <c r="J11" s="3">
        <v>800</v>
      </c>
      <c r="K11" s="3">
        <v>9600</v>
      </c>
    </row>
    <row r="12" spans="1:11" x14ac:dyDescent="0.3">
      <c r="A12">
        <v>1011</v>
      </c>
      <c r="B12" s="2">
        <v>45720</v>
      </c>
      <c r="C12" t="s">
        <v>17</v>
      </c>
      <c r="D12" t="s">
        <v>18</v>
      </c>
      <c r="E12" t="s">
        <v>23</v>
      </c>
      <c r="F12" t="str">
        <f>VLOOKUP(E12,'Product Details'!A:C,2,FALSE)</f>
        <v>Accessories</v>
      </c>
      <c r="G12">
        <f>VLOOKUP(E12,'Product Details'!A:C,3,FALSE)</f>
        <v>2000</v>
      </c>
      <c r="H12" t="s">
        <v>16</v>
      </c>
      <c r="I12">
        <v>5</v>
      </c>
      <c r="J12" s="3">
        <v>2000</v>
      </c>
      <c r="K12" s="3">
        <v>10000</v>
      </c>
    </row>
    <row r="13" spans="1:11" x14ac:dyDescent="0.3">
      <c r="A13">
        <v>1012</v>
      </c>
      <c r="B13" s="2">
        <v>45727</v>
      </c>
      <c r="C13" t="s">
        <v>9</v>
      </c>
      <c r="D13" t="s">
        <v>24</v>
      </c>
      <c r="E13" t="s">
        <v>19</v>
      </c>
      <c r="F13" t="str">
        <f>VLOOKUP(E13,'Product Details'!A:C,2,FALSE)</f>
        <v>Electronics</v>
      </c>
      <c r="G13">
        <f>VLOOKUP(E13,'Product Details'!A:C,3,FALSE)</f>
        <v>12000</v>
      </c>
      <c r="H13" t="s">
        <v>12</v>
      </c>
      <c r="I13">
        <v>3</v>
      </c>
      <c r="J13" s="3">
        <v>12000</v>
      </c>
      <c r="K13" s="3">
        <v>36000</v>
      </c>
    </row>
    <row r="14" spans="1:11" x14ac:dyDescent="0.3">
      <c r="A14">
        <v>1013</v>
      </c>
      <c r="B14" s="2">
        <v>45733</v>
      </c>
      <c r="C14" t="s">
        <v>20</v>
      </c>
      <c r="D14" t="s">
        <v>21</v>
      </c>
      <c r="E14" t="s">
        <v>11</v>
      </c>
      <c r="F14" t="str">
        <f>VLOOKUP(E14,'Product Details'!A:C,2,FALSE)</f>
        <v>Electronics</v>
      </c>
      <c r="G14">
        <f>VLOOKUP(E14,'Product Details'!A:C,3,FALSE)</f>
        <v>55000</v>
      </c>
      <c r="H14" t="s">
        <v>12</v>
      </c>
      <c r="I14">
        <v>1</v>
      </c>
      <c r="J14" s="3">
        <v>55000</v>
      </c>
      <c r="K14" s="3">
        <v>55000</v>
      </c>
    </row>
    <row r="15" spans="1:11" x14ac:dyDescent="0.3">
      <c r="A15">
        <v>1014</v>
      </c>
      <c r="B15" s="2">
        <v>45739</v>
      </c>
      <c r="C15" t="s">
        <v>13</v>
      </c>
      <c r="D15" t="s">
        <v>14</v>
      </c>
      <c r="E15" t="s">
        <v>15</v>
      </c>
      <c r="F15" t="str">
        <f>VLOOKUP(E15,'Product Details'!A:C,2,FALSE)</f>
        <v>Accessories</v>
      </c>
      <c r="G15">
        <f>VLOOKUP(E15,'Product Details'!A:C,3,FALSE)</f>
        <v>1500</v>
      </c>
      <c r="H15" t="s">
        <v>16</v>
      </c>
      <c r="I15">
        <v>10</v>
      </c>
      <c r="J15" s="3">
        <v>1500</v>
      </c>
      <c r="K15" s="3">
        <v>15000</v>
      </c>
    </row>
    <row r="16" spans="1:11" x14ac:dyDescent="0.3">
      <c r="A16">
        <v>1015</v>
      </c>
      <c r="B16" s="2">
        <v>45745</v>
      </c>
      <c r="C16" t="s">
        <v>9</v>
      </c>
      <c r="D16" t="s">
        <v>10</v>
      </c>
      <c r="E16" t="s">
        <v>23</v>
      </c>
      <c r="F16" t="str">
        <f>VLOOKUP(E16,'Product Details'!A:C,2,FALSE)</f>
        <v>Accessories</v>
      </c>
      <c r="G16">
        <f>VLOOKUP(E16,'Product Details'!A:C,3,FALSE)</f>
        <v>2000</v>
      </c>
      <c r="H16" t="s">
        <v>16</v>
      </c>
      <c r="I16">
        <v>7</v>
      </c>
      <c r="J16" s="3">
        <v>2000</v>
      </c>
      <c r="K16" s="3">
        <v>14000</v>
      </c>
    </row>
    <row r="17" spans="1:11" x14ac:dyDescent="0.3">
      <c r="A17">
        <v>1016</v>
      </c>
      <c r="B17" s="2">
        <v>45749</v>
      </c>
      <c r="C17" t="s">
        <v>17</v>
      </c>
      <c r="D17" t="s">
        <v>18</v>
      </c>
      <c r="E17" t="s">
        <v>19</v>
      </c>
      <c r="F17" t="str">
        <f>VLOOKUP(E17,'Product Details'!A:C,2,FALSE)</f>
        <v>Electronics</v>
      </c>
      <c r="G17">
        <f>VLOOKUP(E17,'Product Details'!A:C,3,FALSE)</f>
        <v>12000</v>
      </c>
      <c r="H17" t="s">
        <v>12</v>
      </c>
      <c r="I17">
        <v>5</v>
      </c>
      <c r="J17" s="3">
        <v>12000</v>
      </c>
      <c r="K17" s="3">
        <v>60000</v>
      </c>
    </row>
    <row r="18" spans="1:11" x14ac:dyDescent="0.3">
      <c r="A18">
        <v>1017</v>
      </c>
      <c r="B18" s="2">
        <v>45755</v>
      </c>
      <c r="C18" t="s">
        <v>20</v>
      </c>
      <c r="D18" t="s">
        <v>21</v>
      </c>
      <c r="E18" t="s">
        <v>22</v>
      </c>
      <c r="F18" t="str">
        <f>VLOOKUP(E18,'Product Details'!A:C,2,FALSE)</f>
        <v>Accessories</v>
      </c>
      <c r="G18">
        <f>VLOOKUP(E18,'Product Details'!A:C,3,FALSE)</f>
        <v>800</v>
      </c>
      <c r="H18" t="s">
        <v>16</v>
      </c>
      <c r="I18">
        <v>15</v>
      </c>
      <c r="J18" s="3">
        <v>800</v>
      </c>
      <c r="K18" s="3">
        <v>12000</v>
      </c>
    </row>
    <row r="19" spans="1:11" x14ac:dyDescent="0.3">
      <c r="A19">
        <v>1018</v>
      </c>
      <c r="B19" s="2">
        <v>45761</v>
      </c>
      <c r="C19" t="s">
        <v>9</v>
      </c>
      <c r="D19" t="s">
        <v>24</v>
      </c>
      <c r="E19" t="s">
        <v>11</v>
      </c>
      <c r="F19" t="str">
        <f>VLOOKUP(E19,'Product Details'!A:C,2,FALSE)</f>
        <v>Electronics</v>
      </c>
      <c r="G19">
        <f>VLOOKUP(E19,'Product Details'!A:C,3,FALSE)</f>
        <v>55000</v>
      </c>
      <c r="H19" t="s">
        <v>12</v>
      </c>
      <c r="I19">
        <v>2</v>
      </c>
      <c r="J19" s="3">
        <v>55000</v>
      </c>
      <c r="K19" s="3">
        <v>110000</v>
      </c>
    </row>
    <row r="20" spans="1:11" x14ac:dyDescent="0.3">
      <c r="A20">
        <v>1019</v>
      </c>
      <c r="B20" s="2">
        <v>45767</v>
      </c>
      <c r="C20" t="s">
        <v>13</v>
      </c>
      <c r="D20" t="s">
        <v>14</v>
      </c>
      <c r="E20" t="s">
        <v>23</v>
      </c>
      <c r="F20" t="str">
        <f>VLOOKUP(E20,'Product Details'!A:C,2,FALSE)</f>
        <v>Accessories</v>
      </c>
      <c r="G20">
        <f>VLOOKUP(E20,'Product Details'!A:C,3,FALSE)</f>
        <v>2000</v>
      </c>
      <c r="H20" t="s">
        <v>16</v>
      </c>
      <c r="I20">
        <v>9</v>
      </c>
      <c r="J20" s="3">
        <v>2000</v>
      </c>
      <c r="K20" s="3">
        <v>18000</v>
      </c>
    </row>
    <row r="21" spans="1:11" x14ac:dyDescent="0.3">
      <c r="A21">
        <v>1020</v>
      </c>
      <c r="B21" s="2">
        <v>45773</v>
      </c>
      <c r="C21" t="s">
        <v>17</v>
      </c>
      <c r="D21" t="s">
        <v>18</v>
      </c>
      <c r="E21" t="s">
        <v>15</v>
      </c>
      <c r="F21" t="str">
        <f>VLOOKUP(E21,'Product Details'!A:C,2,FALSE)</f>
        <v>Accessories</v>
      </c>
      <c r="G21">
        <f>VLOOKUP(E21,'Product Details'!A:C,3,FALSE)</f>
        <v>1500</v>
      </c>
      <c r="H21" t="s">
        <v>16</v>
      </c>
      <c r="I21">
        <v>12</v>
      </c>
      <c r="J21" s="3">
        <v>1500</v>
      </c>
      <c r="K21" s="3">
        <v>18000</v>
      </c>
    </row>
    <row r="22" spans="1:11" x14ac:dyDescent="0.3">
      <c r="A22">
        <v>1021</v>
      </c>
      <c r="B22" s="2">
        <v>45780</v>
      </c>
      <c r="C22" t="s">
        <v>20</v>
      </c>
      <c r="D22" t="s">
        <v>21</v>
      </c>
      <c r="E22" t="s">
        <v>11</v>
      </c>
      <c r="F22" t="str">
        <f>VLOOKUP(E22,'Product Details'!A:C,2,FALSE)</f>
        <v>Electronics</v>
      </c>
      <c r="G22">
        <f>VLOOKUP(E22,'Product Details'!A:C,3,FALSE)</f>
        <v>55000</v>
      </c>
      <c r="H22" t="s">
        <v>12</v>
      </c>
      <c r="I22">
        <v>2</v>
      </c>
      <c r="J22" s="3">
        <v>55000</v>
      </c>
      <c r="K22" s="3">
        <v>110000</v>
      </c>
    </row>
    <row r="23" spans="1:11" x14ac:dyDescent="0.3">
      <c r="A23">
        <v>1022</v>
      </c>
      <c r="B23" s="2">
        <v>45786</v>
      </c>
      <c r="C23" t="s">
        <v>9</v>
      </c>
      <c r="D23" t="s">
        <v>10</v>
      </c>
      <c r="E23" t="s">
        <v>19</v>
      </c>
      <c r="F23" t="str">
        <f>VLOOKUP(E23,'Product Details'!A:C,2,FALSE)</f>
        <v>Electronics</v>
      </c>
      <c r="G23">
        <f>VLOOKUP(E23,'Product Details'!A:C,3,FALSE)</f>
        <v>12000</v>
      </c>
      <c r="H23" t="s">
        <v>12</v>
      </c>
      <c r="I23">
        <v>4</v>
      </c>
      <c r="J23" s="3">
        <v>12000</v>
      </c>
      <c r="K23" s="3">
        <v>48000</v>
      </c>
    </row>
    <row r="24" spans="1:11" x14ac:dyDescent="0.3">
      <c r="A24">
        <v>1023</v>
      </c>
      <c r="B24" s="2">
        <v>45792</v>
      </c>
      <c r="C24" t="s">
        <v>13</v>
      </c>
      <c r="D24" t="s">
        <v>14</v>
      </c>
      <c r="E24" t="s">
        <v>22</v>
      </c>
      <c r="F24" t="str">
        <f>VLOOKUP(E24,'Product Details'!A:C,2,FALSE)</f>
        <v>Accessories</v>
      </c>
      <c r="G24">
        <f>VLOOKUP(E24,'Product Details'!A:C,3,FALSE)</f>
        <v>800</v>
      </c>
      <c r="H24" t="s">
        <v>16</v>
      </c>
      <c r="I24">
        <v>18</v>
      </c>
      <c r="J24" s="3">
        <v>800</v>
      </c>
      <c r="K24" s="3">
        <v>14400</v>
      </c>
    </row>
    <row r="25" spans="1:11" x14ac:dyDescent="0.3">
      <c r="A25">
        <v>1024</v>
      </c>
      <c r="B25" s="2">
        <v>45798</v>
      </c>
      <c r="C25" t="s">
        <v>17</v>
      </c>
      <c r="D25" t="s">
        <v>18</v>
      </c>
      <c r="E25" t="s">
        <v>23</v>
      </c>
      <c r="F25" t="str">
        <f>VLOOKUP(E25,'Product Details'!A:C,2,FALSE)</f>
        <v>Accessories</v>
      </c>
      <c r="G25">
        <f>VLOOKUP(E25,'Product Details'!A:C,3,FALSE)</f>
        <v>2000</v>
      </c>
      <c r="H25" t="s">
        <v>16</v>
      </c>
      <c r="I25">
        <v>8</v>
      </c>
      <c r="J25" s="3">
        <v>2000</v>
      </c>
      <c r="K25" s="3">
        <v>16000</v>
      </c>
    </row>
    <row r="26" spans="1:11" x14ac:dyDescent="0.3">
      <c r="A26">
        <v>1025</v>
      </c>
      <c r="B26" s="2">
        <v>45805</v>
      </c>
      <c r="C26" t="s">
        <v>9</v>
      </c>
      <c r="D26" t="s">
        <v>24</v>
      </c>
      <c r="E26" t="s">
        <v>15</v>
      </c>
      <c r="F26" t="str">
        <f>VLOOKUP(E26,'Product Details'!A:C,2,FALSE)</f>
        <v>Accessories</v>
      </c>
      <c r="G26">
        <f>VLOOKUP(E26,'Product Details'!A:C,3,FALSE)</f>
        <v>1500</v>
      </c>
      <c r="H26" t="s">
        <v>16</v>
      </c>
      <c r="I26">
        <v>15</v>
      </c>
      <c r="J26" s="3">
        <v>1500</v>
      </c>
      <c r="K26" s="3">
        <v>22500</v>
      </c>
    </row>
    <row r="27" spans="1:11" x14ac:dyDescent="0.3">
      <c r="A27">
        <v>1026</v>
      </c>
      <c r="B27" s="2">
        <v>45812</v>
      </c>
      <c r="C27" t="s">
        <v>20</v>
      </c>
      <c r="D27" t="s">
        <v>21</v>
      </c>
      <c r="E27" t="s">
        <v>19</v>
      </c>
      <c r="F27" t="str">
        <f>VLOOKUP(E27,'Product Details'!A:C,2,FALSE)</f>
        <v>Electronics</v>
      </c>
      <c r="G27">
        <f>VLOOKUP(E27,'Product Details'!A:C,3,FALSE)</f>
        <v>12000</v>
      </c>
      <c r="H27" t="s">
        <v>12</v>
      </c>
      <c r="I27">
        <v>6</v>
      </c>
      <c r="J27" s="3">
        <v>12000</v>
      </c>
      <c r="K27" s="3">
        <v>72000</v>
      </c>
    </row>
    <row r="28" spans="1:11" x14ac:dyDescent="0.3">
      <c r="A28">
        <v>1027</v>
      </c>
      <c r="B28" s="2">
        <v>45818</v>
      </c>
      <c r="C28" t="s">
        <v>13</v>
      </c>
      <c r="D28" t="s">
        <v>14</v>
      </c>
      <c r="E28" t="s">
        <v>11</v>
      </c>
      <c r="F28" t="str">
        <f>VLOOKUP(E28,'Product Details'!A:C,2,FALSE)</f>
        <v>Electronics</v>
      </c>
      <c r="G28">
        <f>VLOOKUP(E28,'Product Details'!A:C,3,FALSE)</f>
        <v>55000</v>
      </c>
      <c r="H28" t="s">
        <v>12</v>
      </c>
      <c r="I28">
        <v>3</v>
      </c>
      <c r="J28" s="3">
        <v>55000</v>
      </c>
      <c r="K28" s="3">
        <v>165000</v>
      </c>
    </row>
    <row r="29" spans="1:11" x14ac:dyDescent="0.3">
      <c r="A29">
        <v>1028</v>
      </c>
      <c r="B29" s="2">
        <v>45824</v>
      </c>
      <c r="C29" t="s">
        <v>17</v>
      </c>
      <c r="D29" t="s">
        <v>18</v>
      </c>
      <c r="E29" t="s">
        <v>22</v>
      </c>
      <c r="F29" t="str">
        <f>VLOOKUP(E29,'Product Details'!A:C,2,FALSE)</f>
        <v>Accessories</v>
      </c>
      <c r="G29">
        <f>VLOOKUP(E29,'Product Details'!A:C,3,FALSE)</f>
        <v>800</v>
      </c>
      <c r="H29" t="s">
        <v>16</v>
      </c>
      <c r="I29">
        <v>20</v>
      </c>
      <c r="J29" s="3">
        <v>800</v>
      </c>
      <c r="K29" s="3">
        <v>16000</v>
      </c>
    </row>
    <row r="30" spans="1:11" x14ac:dyDescent="0.3">
      <c r="A30">
        <v>1029</v>
      </c>
      <c r="B30" s="2">
        <v>45830</v>
      </c>
      <c r="C30" t="s">
        <v>9</v>
      </c>
      <c r="D30" t="s">
        <v>10</v>
      </c>
      <c r="E30" t="s">
        <v>23</v>
      </c>
      <c r="F30" t="str">
        <f>VLOOKUP(E30,'Product Details'!A:C,2,FALSE)</f>
        <v>Accessories</v>
      </c>
      <c r="G30">
        <f>VLOOKUP(E30,'Product Details'!A:C,3,FALSE)</f>
        <v>2000</v>
      </c>
      <c r="H30" t="s">
        <v>16</v>
      </c>
      <c r="I30">
        <v>10</v>
      </c>
      <c r="J30" s="3">
        <v>2000</v>
      </c>
      <c r="K30" s="3">
        <v>20000</v>
      </c>
    </row>
    <row r="31" spans="1:11" x14ac:dyDescent="0.3">
      <c r="A31">
        <v>1030</v>
      </c>
      <c r="B31" s="2">
        <v>45836</v>
      </c>
      <c r="C31" t="s">
        <v>20</v>
      </c>
      <c r="D31" t="s">
        <v>21</v>
      </c>
      <c r="E31" t="s">
        <v>15</v>
      </c>
      <c r="F31" t="str">
        <f>VLOOKUP(E31,'Product Details'!A:C,2,FALSE)</f>
        <v>Accessories</v>
      </c>
      <c r="G31">
        <f>VLOOKUP(E31,'Product Details'!A:C,3,FALSE)</f>
        <v>1500</v>
      </c>
      <c r="H31" t="s">
        <v>16</v>
      </c>
      <c r="I31">
        <v>14</v>
      </c>
      <c r="J31" s="3">
        <v>1500</v>
      </c>
      <c r="K31" s="3">
        <v>21000</v>
      </c>
    </row>
    <row r="32" spans="1:11" x14ac:dyDescent="0.3">
      <c r="A32">
        <v>1031</v>
      </c>
      <c r="B32" s="2">
        <v>45843</v>
      </c>
      <c r="C32" t="s">
        <v>13</v>
      </c>
      <c r="D32" t="s">
        <v>14</v>
      </c>
      <c r="E32" t="s">
        <v>19</v>
      </c>
      <c r="F32" t="str">
        <f>VLOOKUP(E32,'Product Details'!A:C,2,FALSE)</f>
        <v>Electronics</v>
      </c>
      <c r="G32">
        <f>VLOOKUP(E32,'Product Details'!A:C,3,FALSE)</f>
        <v>12000</v>
      </c>
      <c r="H32" t="s">
        <v>12</v>
      </c>
      <c r="I32">
        <v>5</v>
      </c>
      <c r="J32" s="3">
        <v>12000</v>
      </c>
      <c r="K32" s="3">
        <v>60000</v>
      </c>
    </row>
    <row r="33" spans="1:11" x14ac:dyDescent="0.3">
      <c r="A33">
        <v>1032</v>
      </c>
      <c r="B33" s="2">
        <v>45849</v>
      </c>
      <c r="C33" t="s">
        <v>17</v>
      </c>
      <c r="D33" t="s">
        <v>18</v>
      </c>
      <c r="E33" t="s">
        <v>11</v>
      </c>
      <c r="F33" t="str">
        <f>VLOOKUP(E33,'Product Details'!A:C,2,FALSE)</f>
        <v>Electronics</v>
      </c>
      <c r="G33">
        <f>VLOOKUP(E33,'Product Details'!A:C,3,FALSE)</f>
        <v>55000</v>
      </c>
      <c r="H33" t="s">
        <v>12</v>
      </c>
      <c r="I33">
        <v>2</v>
      </c>
      <c r="J33" s="3">
        <v>55000</v>
      </c>
      <c r="K33" s="3">
        <v>110000</v>
      </c>
    </row>
    <row r="34" spans="1:11" x14ac:dyDescent="0.3">
      <c r="A34">
        <v>1033</v>
      </c>
      <c r="B34" s="2">
        <v>45855</v>
      </c>
      <c r="C34" t="s">
        <v>9</v>
      </c>
      <c r="D34" t="s">
        <v>24</v>
      </c>
      <c r="E34" t="s">
        <v>22</v>
      </c>
      <c r="F34" t="str">
        <f>VLOOKUP(E34,'Product Details'!A:C,2,FALSE)</f>
        <v>Accessories</v>
      </c>
      <c r="G34">
        <f>VLOOKUP(E34,'Product Details'!A:C,3,FALSE)</f>
        <v>800</v>
      </c>
      <c r="H34" t="s">
        <v>16</v>
      </c>
      <c r="I34">
        <v>22</v>
      </c>
      <c r="J34" s="3">
        <v>800</v>
      </c>
      <c r="K34" s="3">
        <v>17600</v>
      </c>
    </row>
    <row r="35" spans="1:11" x14ac:dyDescent="0.3">
      <c r="A35">
        <v>1034</v>
      </c>
      <c r="B35" s="2">
        <v>45861</v>
      </c>
      <c r="C35" t="s">
        <v>20</v>
      </c>
      <c r="D35" t="s">
        <v>21</v>
      </c>
      <c r="E35" t="s">
        <v>23</v>
      </c>
      <c r="F35" t="str">
        <f>VLOOKUP(E35,'Product Details'!A:C,2,FALSE)</f>
        <v>Accessories</v>
      </c>
      <c r="G35">
        <f>VLOOKUP(E35,'Product Details'!A:C,3,FALSE)</f>
        <v>2000</v>
      </c>
      <c r="H35" t="s">
        <v>16</v>
      </c>
      <c r="I35">
        <v>11</v>
      </c>
      <c r="J35" s="3">
        <v>2000</v>
      </c>
      <c r="K35" s="3">
        <v>22000</v>
      </c>
    </row>
    <row r="36" spans="1:11" x14ac:dyDescent="0.3">
      <c r="A36">
        <v>1035</v>
      </c>
      <c r="B36" s="2">
        <v>45867</v>
      </c>
      <c r="C36" t="s">
        <v>9</v>
      </c>
      <c r="D36" t="s">
        <v>10</v>
      </c>
      <c r="E36" t="s">
        <v>11</v>
      </c>
      <c r="F36" t="str">
        <f>VLOOKUP(E36,'Product Details'!A:C,2,FALSE)</f>
        <v>Electronics</v>
      </c>
      <c r="G36">
        <f>VLOOKUP(E36,'Product Details'!A:C,3,FALSE)</f>
        <v>55000</v>
      </c>
      <c r="H36" t="s">
        <v>12</v>
      </c>
      <c r="I36">
        <v>3</v>
      </c>
      <c r="J36" s="3">
        <v>55000</v>
      </c>
      <c r="K36" s="3">
        <v>165000</v>
      </c>
    </row>
    <row r="37" spans="1:11" x14ac:dyDescent="0.3">
      <c r="A37">
        <v>1036</v>
      </c>
      <c r="B37" s="2">
        <v>45873</v>
      </c>
      <c r="C37" t="s">
        <v>17</v>
      </c>
      <c r="D37" t="s">
        <v>18</v>
      </c>
      <c r="E37" t="s">
        <v>19</v>
      </c>
      <c r="F37" t="str">
        <f>VLOOKUP(E37,'Product Details'!A:C,2,FALSE)</f>
        <v>Electronics</v>
      </c>
      <c r="G37">
        <f>VLOOKUP(E37,'Product Details'!A:C,3,FALSE)</f>
        <v>12000</v>
      </c>
      <c r="H37" t="s">
        <v>12</v>
      </c>
      <c r="I37">
        <v>7</v>
      </c>
      <c r="J37" s="3">
        <v>12000</v>
      </c>
      <c r="K37" s="3">
        <v>84000</v>
      </c>
    </row>
    <row r="38" spans="1:11" x14ac:dyDescent="0.3">
      <c r="A38">
        <v>1037</v>
      </c>
      <c r="B38" s="2">
        <v>45879</v>
      </c>
      <c r="C38" t="s">
        <v>13</v>
      </c>
      <c r="D38" t="s">
        <v>14</v>
      </c>
      <c r="E38" t="s">
        <v>15</v>
      </c>
      <c r="F38" t="str">
        <f>VLOOKUP(E38,'Product Details'!A:C,2,FALSE)</f>
        <v>Accessories</v>
      </c>
      <c r="G38">
        <f>VLOOKUP(E38,'Product Details'!A:C,3,FALSE)</f>
        <v>1500</v>
      </c>
      <c r="H38" t="s">
        <v>16</v>
      </c>
      <c r="I38">
        <v>16</v>
      </c>
      <c r="J38" s="3">
        <v>1500</v>
      </c>
      <c r="K38" s="3">
        <v>24000</v>
      </c>
    </row>
    <row r="39" spans="1:11" x14ac:dyDescent="0.3">
      <c r="A39">
        <v>1038</v>
      </c>
      <c r="B39" s="2">
        <v>45885</v>
      </c>
      <c r="C39" t="s">
        <v>20</v>
      </c>
      <c r="D39" t="s">
        <v>21</v>
      </c>
      <c r="E39" t="s">
        <v>22</v>
      </c>
      <c r="F39" t="str">
        <f>VLOOKUP(E39,'Product Details'!A:C,2,FALSE)</f>
        <v>Accessories</v>
      </c>
      <c r="G39">
        <f>VLOOKUP(E39,'Product Details'!A:C,3,FALSE)</f>
        <v>800</v>
      </c>
      <c r="H39" t="s">
        <v>16</v>
      </c>
      <c r="I39">
        <v>25</v>
      </c>
      <c r="J39" s="3">
        <v>800</v>
      </c>
      <c r="K39" s="3">
        <v>20000</v>
      </c>
    </row>
    <row r="40" spans="1:11" x14ac:dyDescent="0.3">
      <c r="A40">
        <v>1039</v>
      </c>
      <c r="B40" s="2">
        <v>45891</v>
      </c>
      <c r="C40" t="s">
        <v>9</v>
      </c>
      <c r="D40" t="s">
        <v>24</v>
      </c>
      <c r="E40" t="s">
        <v>23</v>
      </c>
      <c r="F40" t="str">
        <f>VLOOKUP(E40,'Product Details'!A:C,2,FALSE)</f>
        <v>Accessories</v>
      </c>
      <c r="G40">
        <f>VLOOKUP(E40,'Product Details'!A:C,3,FALSE)</f>
        <v>2000</v>
      </c>
      <c r="H40" t="s">
        <v>16</v>
      </c>
      <c r="I40">
        <v>12</v>
      </c>
      <c r="J40" s="3">
        <v>2000</v>
      </c>
      <c r="K40" s="3">
        <v>24000</v>
      </c>
    </row>
    <row r="41" spans="1:11" x14ac:dyDescent="0.3">
      <c r="A41">
        <v>1040</v>
      </c>
      <c r="B41" s="2">
        <v>45897</v>
      </c>
      <c r="C41" t="s">
        <v>17</v>
      </c>
      <c r="D41" t="s">
        <v>18</v>
      </c>
      <c r="E41" t="s">
        <v>11</v>
      </c>
      <c r="F41" t="str">
        <f>VLOOKUP(E41,'Product Details'!A:C,2,FALSE)</f>
        <v>Electronics</v>
      </c>
      <c r="G41">
        <f>VLOOKUP(E41,'Product Details'!A:C,3,FALSE)</f>
        <v>55000</v>
      </c>
      <c r="H41" t="s">
        <v>12</v>
      </c>
      <c r="I41">
        <v>2</v>
      </c>
      <c r="J41" s="3">
        <v>55000</v>
      </c>
      <c r="K41" s="3">
        <v>110000</v>
      </c>
    </row>
    <row r="42" spans="1:11" x14ac:dyDescent="0.3">
      <c r="A42">
        <v>1041</v>
      </c>
      <c r="B42" s="2">
        <v>45903</v>
      </c>
      <c r="C42" t="s">
        <v>13</v>
      </c>
      <c r="D42" t="s">
        <v>14</v>
      </c>
      <c r="E42" t="s">
        <v>19</v>
      </c>
      <c r="F42" t="str">
        <f>VLOOKUP(E42,'Product Details'!A:C,2,FALSE)</f>
        <v>Electronics</v>
      </c>
      <c r="G42">
        <f>VLOOKUP(E42,'Product Details'!A:C,3,FALSE)</f>
        <v>12000</v>
      </c>
      <c r="H42" t="s">
        <v>12</v>
      </c>
      <c r="I42">
        <v>6</v>
      </c>
      <c r="J42" s="3">
        <v>12000</v>
      </c>
      <c r="K42" s="3">
        <v>72000</v>
      </c>
    </row>
    <row r="43" spans="1:11" x14ac:dyDescent="0.3">
      <c r="A43">
        <v>1042</v>
      </c>
      <c r="B43" s="2">
        <v>45909</v>
      </c>
      <c r="C43" t="s">
        <v>9</v>
      </c>
      <c r="D43" t="s">
        <v>10</v>
      </c>
      <c r="E43" t="s">
        <v>15</v>
      </c>
      <c r="F43" t="str">
        <f>VLOOKUP(E43,'Product Details'!A:C,2,FALSE)</f>
        <v>Accessories</v>
      </c>
      <c r="G43">
        <f>VLOOKUP(E43,'Product Details'!A:C,3,FALSE)</f>
        <v>1500</v>
      </c>
      <c r="H43" t="s">
        <v>16</v>
      </c>
      <c r="I43">
        <v>18</v>
      </c>
      <c r="J43" s="3">
        <v>1500</v>
      </c>
      <c r="K43" s="3">
        <v>27000</v>
      </c>
    </row>
    <row r="44" spans="1:11" x14ac:dyDescent="0.3">
      <c r="A44">
        <v>1043</v>
      </c>
      <c r="B44" s="2">
        <v>45915</v>
      </c>
      <c r="C44" t="s">
        <v>20</v>
      </c>
      <c r="D44" t="s">
        <v>21</v>
      </c>
      <c r="E44" t="s">
        <v>11</v>
      </c>
      <c r="F44" t="str">
        <f>VLOOKUP(E44,'Product Details'!A:C,2,FALSE)</f>
        <v>Electronics</v>
      </c>
      <c r="G44">
        <f>VLOOKUP(E44,'Product Details'!A:C,3,FALSE)</f>
        <v>55000</v>
      </c>
      <c r="H44" t="s">
        <v>12</v>
      </c>
      <c r="I44">
        <v>2</v>
      </c>
      <c r="J44" s="3">
        <v>55000</v>
      </c>
      <c r="K44" s="3">
        <v>110000</v>
      </c>
    </row>
    <row r="45" spans="1:11" x14ac:dyDescent="0.3">
      <c r="A45">
        <v>1044</v>
      </c>
      <c r="B45" s="2">
        <v>45921</v>
      </c>
      <c r="C45" t="s">
        <v>17</v>
      </c>
      <c r="D45" t="s">
        <v>18</v>
      </c>
      <c r="E45" t="s">
        <v>23</v>
      </c>
      <c r="F45" t="str">
        <f>VLOOKUP(E45,'Product Details'!A:C,2,FALSE)</f>
        <v>Accessories</v>
      </c>
      <c r="G45">
        <f>VLOOKUP(E45,'Product Details'!A:C,3,FALSE)</f>
        <v>2000</v>
      </c>
      <c r="H45" t="s">
        <v>16</v>
      </c>
      <c r="I45">
        <v>14</v>
      </c>
      <c r="J45" s="3">
        <v>2000</v>
      </c>
      <c r="K45" s="3">
        <v>28000</v>
      </c>
    </row>
    <row r="46" spans="1:11" x14ac:dyDescent="0.3">
      <c r="A46">
        <v>1045</v>
      </c>
      <c r="B46" s="2">
        <v>45927</v>
      </c>
      <c r="C46" t="s">
        <v>9</v>
      </c>
      <c r="D46" t="s">
        <v>24</v>
      </c>
      <c r="E46" t="s">
        <v>19</v>
      </c>
      <c r="F46" t="str">
        <f>VLOOKUP(E46,'Product Details'!A:C,2,FALSE)</f>
        <v>Electronics</v>
      </c>
      <c r="G46">
        <f>VLOOKUP(E46,'Product Details'!A:C,3,FALSE)</f>
        <v>12000</v>
      </c>
      <c r="H46" t="s">
        <v>12</v>
      </c>
      <c r="I46">
        <v>5</v>
      </c>
      <c r="J46" s="3">
        <v>12000</v>
      </c>
      <c r="K46" s="3">
        <v>60000</v>
      </c>
    </row>
    <row r="47" spans="1:11" x14ac:dyDescent="0.3">
      <c r="A47">
        <v>1046</v>
      </c>
      <c r="B47" s="2">
        <v>45934</v>
      </c>
      <c r="C47" t="s">
        <v>13</v>
      </c>
      <c r="D47" t="s">
        <v>14</v>
      </c>
      <c r="E47" t="s">
        <v>22</v>
      </c>
      <c r="F47" t="str">
        <f>VLOOKUP(E47,'Product Details'!A:C,2,FALSE)</f>
        <v>Accessories</v>
      </c>
      <c r="G47">
        <f>VLOOKUP(E47,'Product Details'!A:C,3,FALSE)</f>
        <v>800</v>
      </c>
      <c r="H47" t="s">
        <v>16</v>
      </c>
      <c r="I47">
        <v>24</v>
      </c>
      <c r="J47" s="3">
        <v>800</v>
      </c>
      <c r="K47" s="3">
        <v>19200</v>
      </c>
    </row>
    <row r="48" spans="1:11" x14ac:dyDescent="0.3">
      <c r="A48">
        <v>1047</v>
      </c>
      <c r="B48" s="2">
        <v>45940</v>
      </c>
      <c r="C48" t="s">
        <v>20</v>
      </c>
      <c r="D48" t="s">
        <v>21</v>
      </c>
      <c r="E48" t="s">
        <v>15</v>
      </c>
      <c r="F48" t="str">
        <f>VLOOKUP(E48,'Product Details'!A:C,2,FALSE)</f>
        <v>Accessories</v>
      </c>
      <c r="G48">
        <f>VLOOKUP(E48,'Product Details'!A:C,3,FALSE)</f>
        <v>1500</v>
      </c>
      <c r="H48" t="s">
        <v>16</v>
      </c>
      <c r="I48">
        <v>20</v>
      </c>
      <c r="J48" s="3">
        <v>1500</v>
      </c>
      <c r="K48" s="3">
        <v>30000</v>
      </c>
    </row>
    <row r="49" spans="1:11" x14ac:dyDescent="0.3">
      <c r="A49">
        <v>1048</v>
      </c>
      <c r="B49" s="2">
        <v>45946</v>
      </c>
      <c r="C49" t="s">
        <v>17</v>
      </c>
      <c r="D49" t="s">
        <v>18</v>
      </c>
      <c r="E49" t="s">
        <v>11</v>
      </c>
      <c r="F49" t="str">
        <f>VLOOKUP(E49,'Product Details'!A:C,2,FALSE)</f>
        <v>Electronics</v>
      </c>
      <c r="G49">
        <f>VLOOKUP(E49,'Product Details'!A:C,3,FALSE)</f>
        <v>55000</v>
      </c>
      <c r="H49" t="s">
        <v>12</v>
      </c>
      <c r="I49">
        <v>3</v>
      </c>
      <c r="J49" s="3">
        <v>55000</v>
      </c>
      <c r="K49" s="3">
        <v>165000</v>
      </c>
    </row>
    <row r="50" spans="1:11" x14ac:dyDescent="0.3">
      <c r="A50">
        <v>1049</v>
      </c>
      <c r="B50" s="2">
        <v>45952</v>
      </c>
      <c r="C50" t="s">
        <v>9</v>
      </c>
      <c r="D50" t="s">
        <v>10</v>
      </c>
      <c r="E50" t="s">
        <v>23</v>
      </c>
      <c r="F50" t="str">
        <f>VLOOKUP(E50,'Product Details'!A:C,2,FALSE)</f>
        <v>Accessories</v>
      </c>
      <c r="G50">
        <f>VLOOKUP(E50,'Product Details'!A:C,3,FALSE)</f>
        <v>2000</v>
      </c>
      <c r="H50" t="s">
        <v>16</v>
      </c>
      <c r="I50">
        <v>15</v>
      </c>
      <c r="J50" s="3">
        <v>2000</v>
      </c>
      <c r="K50" s="3">
        <v>30000</v>
      </c>
    </row>
    <row r="51" spans="1:11" x14ac:dyDescent="0.3">
      <c r="A51">
        <v>1050</v>
      </c>
      <c r="B51" s="2">
        <v>45958</v>
      </c>
      <c r="C51" t="s">
        <v>13</v>
      </c>
      <c r="D51" t="s">
        <v>14</v>
      </c>
      <c r="E51" t="s">
        <v>19</v>
      </c>
      <c r="F51" t="str">
        <f>VLOOKUP(E51,'Product Details'!A:C,2,FALSE)</f>
        <v>Electronics</v>
      </c>
      <c r="G51">
        <f>VLOOKUP(E51,'Product Details'!A:C,3,FALSE)</f>
        <v>12000</v>
      </c>
      <c r="H51" t="s">
        <v>12</v>
      </c>
      <c r="I51">
        <v>7</v>
      </c>
      <c r="J51" s="3">
        <v>12000</v>
      </c>
      <c r="K51" s="3">
        <v>84000</v>
      </c>
    </row>
    <row r="52" spans="1:11" x14ac:dyDescent="0.3">
      <c r="A52">
        <v>1051</v>
      </c>
      <c r="B52" s="2">
        <v>45966</v>
      </c>
      <c r="C52" t="s">
        <v>20</v>
      </c>
      <c r="D52" t="s">
        <v>21</v>
      </c>
      <c r="E52" t="s">
        <v>11</v>
      </c>
      <c r="F52" t="str">
        <f>VLOOKUP(E52,'Product Details'!A:C,2,FALSE)</f>
        <v>Electronics</v>
      </c>
      <c r="G52">
        <f>VLOOKUP(E52,'Product Details'!A:C,3,FALSE)</f>
        <v>55000</v>
      </c>
      <c r="H52" t="s">
        <v>12</v>
      </c>
      <c r="I52">
        <v>2</v>
      </c>
      <c r="J52" s="3">
        <v>55000</v>
      </c>
      <c r="K52" s="3">
        <v>110000</v>
      </c>
    </row>
    <row r="53" spans="1:11" x14ac:dyDescent="0.3">
      <c r="A53">
        <v>1052</v>
      </c>
      <c r="B53" s="2">
        <v>45972</v>
      </c>
      <c r="C53" t="s">
        <v>9</v>
      </c>
      <c r="D53" t="s">
        <v>24</v>
      </c>
      <c r="E53" t="s">
        <v>22</v>
      </c>
      <c r="F53" t="str">
        <f>VLOOKUP(E53,'Product Details'!A:C,2,FALSE)</f>
        <v>Accessories</v>
      </c>
      <c r="G53">
        <f>VLOOKUP(E53,'Product Details'!A:C,3,FALSE)</f>
        <v>800</v>
      </c>
      <c r="H53" t="s">
        <v>16</v>
      </c>
      <c r="I53">
        <v>28</v>
      </c>
      <c r="J53" s="3">
        <v>800</v>
      </c>
      <c r="K53" s="3">
        <v>22400</v>
      </c>
    </row>
    <row r="54" spans="1:11" x14ac:dyDescent="0.3">
      <c r="A54">
        <v>1053</v>
      </c>
      <c r="B54" s="2">
        <v>45978</v>
      </c>
      <c r="C54" t="s">
        <v>17</v>
      </c>
      <c r="D54" t="s">
        <v>18</v>
      </c>
      <c r="E54" t="s">
        <v>15</v>
      </c>
      <c r="F54" t="str">
        <f>VLOOKUP(E54,'Product Details'!A:C,2,FALSE)</f>
        <v>Accessories</v>
      </c>
      <c r="G54">
        <f>VLOOKUP(E54,'Product Details'!A:C,3,FALSE)</f>
        <v>1500</v>
      </c>
      <c r="H54" t="s">
        <v>16</v>
      </c>
      <c r="I54">
        <v>22</v>
      </c>
      <c r="J54" s="3">
        <v>1500</v>
      </c>
      <c r="K54" s="3">
        <v>33000</v>
      </c>
    </row>
    <row r="55" spans="1:11" x14ac:dyDescent="0.3">
      <c r="A55">
        <v>1054</v>
      </c>
      <c r="B55" s="2">
        <v>45984</v>
      </c>
      <c r="C55" t="s">
        <v>13</v>
      </c>
      <c r="D55" t="s">
        <v>14</v>
      </c>
      <c r="E55" t="s">
        <v>23</v>
      </c>
      <c r="F55" t="str">
        <f>VLOOKUP(E55,'Product Details'!A:C,2,FALSE)</f>
        <v>Accessories</v>
      </c>
      <c r="G55">
        <f>VLOOKUP(E55,'Product Details'!A:C,3,FALSE)</f>
        <v>2000</v>
      </c>
      <c r="H55" t="s">
        <v>16</v>
      </c>
      <c r="I55">
        <v>16</v>
      </c>
      <c r="J55" s="3">
        <v>2000</v>
      </c>
      <c r="K55" s="3">
        <v>32000</v>
      </c>
    </row>
    <row r="56" spans="1:11" x14ac:dyDescent="0.3">
      <c r="A56">
        <v>1055</v>
      </c>
      <c r="B56" s="2">
        <v>45990</v>
      </c>
      <c r="C56" t="s">
        <v>9</v>
      </c>
      <c r="D56" t="s">
        <v>10</v>
      </c>
      <c r="E56" t="s">
        <v>19</v>
      </c>
      <c r="F56" t="str">
        <f>VLOOKUP(E56,'Product Details'!A:C,2,FALSE)</f>
        <v>Electronics</v>
      </c>
      <c r="G56">
        <f>VLOOKUP(E56,'Product Details'!A:C,3,FALSE)</f>
        <v>12000</v>
      </c>
      <c r="H56" t="s">
        <v>12</v>
      </c>
      <c r="I56">
        <v>6</v>
      </c>
      <c r="J56" s="3">
        <v>12000</v>
      </c>
      <c r="K56" s="3">
        <v>72000</v>
      </c>
    </row>
    <row r="57" spans="1:11" x14ac:dyDescent="0.3">
      <c r="A57">
        <v>1056</v>
      </c>
      <c r="B57" s="2">
        <v>45995</v>
      </c>
      <c r="C57" t="s">
        <v>17</v>
      </c>
      <c r="D57" t="s">
        <v>18</v>
      </c>
      <c r="E57" t="s">
        <v>11</v>
      </c>
      <c r="F57" t="str">
        <f>VLOOKUP(E57,'Product Details'!A:C,2,FALSE)</f>
        <v>Electronics</v>
      </c>
      <c r="G57">
        <f>VLOOKUP(E57,'Product Details'!A:C,3,FALSE)</f>
        <v>55000</v>
      </c>
      <c r="H57" t="s">
        <v>12</v>
      </c>
      <c r="I57">
        <v>3</v>
      </c>
      <c r="J57" s="3">
        <v>55000</v>
      </c>
      <c r="K57" s="3">
        <v>165000</v>
      </c>
    </row>
    <row r="58" spans="1:11" x14ac:dyDescent="0.3">
      <c r="A58">
        <v>1057</v>
      </c>
      <c r="B58" s="2">
        <v>46001</v>
      </c>
      <c r="C58" t="s">
        <v>20</v>
      </c>
      <c r="D58" t="s">
        <v>21</v>
      </c>
      <c r="E58" t="s">
        <v>22</v>
      </c>
      <c r="F58" t="str">
        <f>VLOOKUP(E58,'Product Details'!A:C,2,FALSE)</f>
        <v>Accessories</v>
      </c>
      <c r="G58">
        <f>VLOOKUP(E58,'Product Details'!A:C,3,FALSE)</f>
        <v>800</v>
      </c>
      <c r="H58" t="s">
        <v>16</v>
      </c>
      <c r="I58">
        <v>30</v>
      </c>
      <c r="J58" s="3">
        <v>800</v>
      </c>
      <c r="K58" s="3">
        <v>24000</v>
      </c>
    </row>
    <row r="59" spans="1:11" x14ac:dyDescent="0.3">
      <c r="A59">
        <v>1058</v>
      </c>
      <c r="B59" s="2">
        <v>46007</v>
      </c>
      <c r="C59" t="s">
        <v>9</v>
      </c>
      <c r="D59" t="s">
        <v>24</v>
      </c>
      <c r="E59" t="s">
        <v>15</v>
      </c>
      <c r="F59" t="str">
        <f>VLOOKUP(E59,'Product Details'!A:C,2,FALSE)</f>
        <v>Accessories</v>
      </c>
      <c r="G59">
        <f>VLOOKUP(E59,'Product Details'!A:C,3,FALSE)</f>
        <v>1500</v>
      </c>
      <c r="H59" t="s">
        <v>16</v>
      </c>
      <c r="I59">
        <v>25</v>
      </c>
      <c r="J59" s="3">
        <v>1500</v>
      </c>
      <c r="K59" s="3">
        <v>37500</v>
      </c>
    </row>
    <row r="60" spans="1:11" x14ac:dyDescent="0.3">
      <c r="A60">
        <v>1059</v>
      </c>
      <c r="B60" s="2">
        <v>46013</v>
      </c>
      <c r="C60" t="s">
        <v>13</v>
      </c>
      <c r="D60" t="s">
        <v>14</v>
      </c>
      <c r="E60" t="s">
        <v>19</v>
      </c>
      <c r="F60" t="str">
        <f>VLOOKUP(E60,'Product Details'!A:C,2,FALSE)</f>
        <v>Electronics</v>
      </c>
      <c r="G60">
        <f>VLOOKUP(E60,'Product Details'!A:C,3,FALSE)</f>
        <v>12000</v>
      </c>
      <c r="H60" t="s">
        <v>12</v>
      </c>
      <c r="I60">
        <v>8</v>
      </c>
      <c r="J60" s="3">
        <v>12000</v>
      </c>
      <c r="K60" s="3">
        <v>96000</v>
      </c>
    </row>
    <row r="61" spans="1:11" x14ac:dyDescent="0.3">
      <c r="A61">
        <v>1060</v>
      </c>
      <c r="B61" s="2">
        <v>46019</v>
      </c>
      <c r="C61" t="s">
        <v>9</v>
      </c>
      <c r="D61" t="s">
        <v>10</v>
      </c>
      <c r="E61" t="s">
        <v>11</v>
      </c>
      <c r="F61" t="str">
        <f>VLOOKUP(E61,'Product Details'!A:C,2,FALSE)</f>
        <v>Electronics</v>
      </c>
      <c r="G61">
        <f>VLOOKUP(E61,'Product Details'!A:C,3,FALSE)</f>
        <v>55000</v>
      </c>
      <c r="H61" t="s">
        <v>12</v>
      </c>
      <c r="I61">
        <v>2</v>
      </c>
      <c r="J61" s="3">
        <v>55000</v>
      </c>
      <c r="K61" s="3">
        <v>110000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pane ySplit="1" topLeftCell="A2" activePane="bottomLeft" state="frozen"/>
      <selection pane="bottomLeft" activeCell="B5" sqref="B5"/>
    </sheetView>
  </sheetViews>
  <sheetFormatPr defaultRowHeight="14.4" x14ac:dyDescent="0.3"/>
  <cols>
    <col min="1" max="1" width="12" customWidth="1"/>
    <col min="2" max="2" width="13" customWidth="1"/>
    <col min="3" max="3" width="12" customWidth="1"/>
  </cols>
  <sheetData>
    <row r="1" spans="1:3" x14ac:dyDescent="0.3">
      <c r="A1" s="1" t="s">
        <v>4</v>
      </c>
      <c r="B1" s="1" t="s">
        <v>5</v>
      </c>
      <c r="C1" s="1" t="s">
        <v>7</v>
      </c>
    </row>
    <row r="2" spans="1:3" x14ac:dyDescent="0.3">
      <c r="A2" t="s">
        <v>11</v>
      </c>
      <c r="B2" t="s">
        <v>12</v>
      </c>
      <c r="C2">
        <v>55000</v>
      </c>
    </row>
    <row r="3" spans="1:3" x14ac:dyDescent="0.3">
      <c r="A3" t="s">
        <v>19</v>
      </c>
      <c r="B3" t="s">
        <v>12</v>
      </c>
      <c r="C3">
        <v>12000</v>
      </c>
    </row>
    <row r="4" spans="1:3" x14ac:dyDescent="0.3">
      <c r="A4" t="s">
        <v>15</v>
      </c>
      <c r="B4" t="s">
        <v>16</v>
      </c>
      <c r="C4">
        <v>1500</v>
      </c>
    </row>
    <row r="5" spans="1:3" x14ac:dyDescent="0.3">
      <c r="A5" t="s">
        <v>22</v>
      </c>
      <c r="B5" t="s">
        <v>16</v>
      </c>
      <c r="C5">
        <v>800</v>
      </c>
    </row>
    <row r="6" spans="1:3" x14ac:dyDescent="0.3">
      <c r="A6" t="s">
        <v>23</v>
      </c>
      <c r="B6" t="s">
        <v>16</v>
      </c>
      <c r="C6">
        <v>2000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pane ySplit="1" topLeftCell="A2" activePane="bottomLeft" state="frozen"/>
      <selection pane="bottomLeft" activeCell="F9" sqref="F9"/>
    </sheetView>
  </sheetViews>
  <sheetFormatPr defaultRowHeight="14.4" x14ac:dyDescent="0.3"/>
  <cols>
    <col min="1" max="1" width="21" customWidth="1"/>
    <col min="2" max="2" width="22" customWidth="1"/>
    <col min="3" max="3" width="13.109375" customWidth="1"/>
  </cols>
  <sheetData>
    <row r="1" spans="1:3" x14ac:dyDescent="0.3">
      <c r="A1" s="1" t="s">
        <v>25</v>
      </c>
      <c r="B1" s="1" t="s">
        <v>26</v>
      </c>
      <c r="C1" t="s">
        <v>33</v>
      </c>
    </row>
    <row r="2" spans="1:3" x14ac:dyDescent="0.3">
      <c r="A2" t="s">
        <v>27</v>
      </c>
      <c r="B2">
        <f>SUM('Sales Data'!J:J)</f>
        <v>1027500</v>
      </c>
      <c r="C2">
        <f>'KPI Summary'!B2</f>
        <v>1027500</v>
      </c>
    </row>
    <row r="3" spans="1:3" x14ac:dyDescent="0.3">
      <c r="A3" t="s">
        <v>28</v>
      </c>
      <c r="B3">
        <v>583</v>
      </c>
      <c r="C3">
        <f>B3</f>
        <v>583</v>
      </c>
    </row>
    <row r="4" spans="1:3" x14ac:dyDescent="0.3">
      <c r="A4" t="s">
        <v>29</v>
      </c>
      <c r="B4">
        <f>COUNTA('Sales Data'!A:A)-1</f>
        <v>60</v>
      </c>
      <c r="C4">
        <f>COUNTA('Sales Data'!A:A)-1</f>
        <v>60</v>
      </c>
    </row>
    <row r="5" spans="1:3" x14ac:dyDescent="0.3">
      <c r="A5" t="s">
        <v>30</v>
      </c>
      <c r="B5">
        <f>B2/B4</f>
        <v>17125</v>
      </c>
      <c r="C5">
        <f>C2/C4</f>
        <v>17125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Regional analysis</vt:lpstr>
      <vt:lpstr>product performance pivot table</vt:lpstr>
      <vt:lpstr>salesperson performance</vt:lpstr>
      <vt:lpstr>monthly sales analysis</vt:lpstr>
      <vt:lpstr>Dashboard</vt:lpstr>
      <vt:lpstr>Sales Data</vt:lpstr>
      <vt:lpstr>Product Details</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Ramola D</cp:lastModifiedBy>
  <dcterms:created xsi:type="dcterms:W3CDTF">2026-09-02T14:21:44Z</dcterms:created>
  <dcterms:modified xsi:type="dcterms:W3CDTF">2026-09-02T16:15:35Z</dcterms:modified>
</cp:coreProperties>
</file>